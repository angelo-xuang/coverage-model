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History" sheetId="1" state="visible" r:id="rId1"/>
    <sheet xmlns:r="http://schemas.openxmlformats.org/officeDocument/2006/relationships" name="Valuation" sheetId="2" state="visible" r:id="rId2"/>
    <sheet xmlns:r="http://schemas.openxmlformats.org/officeDocument/2006/relationships" name="Fiscal Year Info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Forecast" sheetId="5" state="visible" r:id="rId5"/>
    <sheet xmlns:r="http://schemas.openxmlformats.org/officeDocument/2006/relationships" name="Sanity 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"/>
  </numFmts>
  <fonts count="11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color rgb="000000FF"/>
    </font>
    <font>
      <color rgb="00000000"/>
    </font>
    <font>
      <b val="1"/>
      <color rgb="001F4E79"/>
      <sz val="14"/>
    </font>
    <font>
      <b val="1"/>
      <color rgb="00008000"/>
    </font>
    <font>
      <b val="1"/>
      <color rgb="001F4E79"/>
      <sz val="12"/>
    </font>
    <font>
      <b val="1"/>
      <color rgb="00666666"/>
    </font>
    <font>
      <color rgb="00008000"/>
    </font>
    <font>
      <i val="1"/>
      <color rgb="0080808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BDD7EE"/>
        <bgColor rgb="00BDD7EE"/>
      </patternFill>
    </fill>
    <fill>
      <patternFill patternType="solid">
        <fgColor rgb="00E8E8E8"/>
        <bgColor rgb="00E8E8E8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1" pivotButton="0" quotePrefix="0" xfId="0"/>
    <xf numFmtId="3" fontId="3" fillId="4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165" fontId="3" fillId="4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7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1" fillId="2" borderId="1" pivotButton="0" quotePrefix="0" xfId="0"/>
    <xf numFmtId="0" fontId="2" fillId="5" borderId="1" pivotButton="0" quotePrefix="0" xfId="0"/>
    <xf numFmtId="0" fontId="2" fillId="6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165" fontId="9" fillId="6" borderId="1" applyAlignment="1" pivotButton="0" quotePrefix="0" xfId="0">
      <alignment horizontal="right"/>
    </xf>
    <xf numFmtId="0" fontId="10" fillId="8" borderId="1" applyAlignment="1" pivotButton="0" quotePrefix="0" xfId="0">
      <alignment horizontal="left" vertical="top" wrapText="1"/>
    </xf>
    <xf numFmtId="164" fontId="3" fillId="4" borderId="1" applyAlignment="1" pivotButton="0" quotePrefix="0" xfId="0">
      <alignment horizontal="right"/>
    </xf>
    <xf numFmtId="164" fontId="9" fillId="6" borderId="1" applyAlignment="1" pivotButton="0" quotePrefix="0" xfId="0">
      <alignment horizontal="right"/>
    </xf>
    <xf numFmtId="166" fontId="9" fillId="6" borderId="1" applyAlignment="1" pivotButton="0" quotePrefix="0" xfId="0">
      <alignment horizontal="right"/>
    </xf>
    <xf numFmtId="3" fontId="9" fillId="6" borderId="1" applyAlignment="1" pivotButton="0" quotePrefix="0" xfId="0">
      <alignment horizontal="right"/>
    </xf>
    <xf numFmtId="0" fontId="1" fillId="2" borderId="0" pivotButton="0" quotePrefix="0" xfId="0"/>
    <xf numFmtId="0" fontId="0" fillId="2" borderId="0" pivotButton="0" quotePrefix="0" xfId="0"/>
    <xf numFmtId="165" fontId="4" fillId="0" borderId="1" applyAlignment="1" pivotButton="0" quotePrefix="0" xfId="0">
      <alignment horizontal="right"/>
    </xf>
    <xf numFmtId="165" fontId="4" fillId="6" borderId="1" applyAlignment="1" pivotButton="0" quotePrefix="0" xfId="0">
      <alignment horizontal="right"/>
    </xf>
    <xf numFmtId="164" fontId="9" fillId="0" borderId="1" applyAlignment="1" pivotButton="0" quotePrefix="0" xfId="0">
      <alignment horizontal="right"/>
    </xf>
    <xf numFmtId="166" fontId="9" fillId="0" borderId="1" applyAlignment="1" pivotButton="0" quotePrefix="0" xfId="0">
      <alignment horizontal="right"/>
    </xf>
    <xf numFmtId="3" fontId="9" fillId="0" borderId="1" applyAlignment="1" pivotButton="0" quotePrefix="0" xfId="0">
      <alignment horizontal="right"/>
    </xf>
    <xf numFmtId="4" fontId="4" fillId="6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Metric</t>
        </is>
      </c>
      <c r="B1" s="2" t="inlineStr">
        <is>
          <t>2021A</t>
        </is>
      </c>
      <c r="C1" s="2" t="inlineStr">
        <is>
          <t>2022A</t>
        </is>
      </c>
      <c r="D1" s="2" t="inlineStr">
        <is>
          <t>2023A</t>
        </is>
      </c>
      <c r="E1" s="2" t="inlineStr">
        <is>
          <t>2024A</t>
        </is>
      </c>
      <c r="F1" s="2" t="inlineStr">
        <is>
          <t>2025A</t>
        </is>
      </c>
    </row>
    <row r="2">
      <c r="A2" s="3" t="inlineStr">
        <is>
          <t>Revenue ($M)</t>
        </is>
      </c>
      <c r="B2" s="4" t="n">
        <v>257637</v>
      </c>
      <c r="C2" s="4" t="n">
        <v>282836</v>
      </c>
      <c r="D2" s="4" t="n">
        <v>307394</v>
      </c>
      <c r="E2" s="4" t="n">
        <v>350018</v>
      </c>
      <c r="F2" s="4" t="n">
        <v>402779</v>
      </c>
    </row>
    <row r="3">
      <c r="A3" s="3" t="inlineStr">
        <is>
          <t>Rev Growth</t>
        </is>
      </c>
      <c r="B3" s="5" t="n"/>
      <c r="C3" s="5" t="n"/>
      <c r="D3" s="5" t="n">
        <v>0.0868</v>
      </c>
      <c r="E3" s="5" t="n">
        <v>0.1387</v>
      </c>
      <c r="F3" s="5" t="n">
        <v>0.1507</v>
      </c>
    </row>
    <row r="4">
      <c r="A4" s="3" t="inlineStr">
        <is>
          <t>COGS ($M)</t>
        </is>
      </c>
      <c r="B4" s="4" t="n"/>
      <c r="C4" s="4" t="n">
        <v>126203</v>
      </c>
      <c r="D4" s="4" t="n">
        <v>133452</v>
      </c>
      <c r="E4" s="4" t="n">
        <v>146318</v>
      </c>
      <c r="F4" s="4" t="n">
        <v>162322</v>
      </c>
    </row>
    <row r="5">
      <c r="A5" s="3" t="inlineStr">
        <is>
          <t>Gross Profit ($M)</t>
        </is>
      </c>
      <c r="B5" s="6" t="n"/>
      <c r="C5" s="6" t="n">
        <v>156633</v>
      </c>
      <c r="D5" s="6" t="n">
        <v>173942</v>
      </c>
      <c r="E5" s="6" t="n">
        <v>203700</v>
      </c>
      <c r="F5" s="6" t="n">
        <v>240457</v>
      </c>
    </row>
    <row r="6">
      <c r="A6" s="3" t="inlineStr">
        <is>
          <t>Gross Margin</t>
        </is>
      </c>
      <c r="B6" s="5" t="n"/>
      <c r="C6" s="5" t="n">
        <v>0.5538</v>
      </c>
      <c r="D6" s="5" t="n">
        <v>0.5658</v>
      </c>
      <c r="E6" s="5" t="n">
        <v>0.5819</v>
      </c>
      <c r="F6" s="5" t="n">
        <v>0.5969</v>
      </c>
    </row>
    <row r="7">
      <c r="A7" s="3" t="inlineStr">
        <is>
          <t>R&amp;D ($M)</t>
        </is>
      </c>
      <c r="B7" s="4" t="n"/>
      <c r="C7" s="4" t="n">
        <v>39500</v>
      </c>
      <c r="D7" s="4" t="n">
        <v>45364</v>
      </c>
      <c r="E7" s="4" t="n">
        <v>45427</v>
      </c>
      <c r="F7" s="4" t="n">
        <v>49600</v>
      </c>
    </row>
    <row r="8">
      <c r="A8" s="3" t="inlineStr">
        <is>
          <t>R&amp;D Ratio</t>
        </is>
      </c>
      <c r="B8" s="5" t="n"/>
      <c r="C8" s="5" t="n">
        <v>0.1397</v>
      </c>
      <c r="D8" s="5" t="n">
        <v>0.1476</v>
      </c>
      <c r="E8" s="5" t="n">
        <v>0.1298</v>
      </c>
      <c r="F8" s="5" t="n">
        <v>0.1231</v>
      </c>
    </row>
    <row r="9">
      <c r="A9" s="3" t="inlineStr">
        <is>
          <t>SG&amp;A ($M)</t>
        </is>
      </c>
      <c r="B9" s="4" t="n"/>
      <c r="C9" s="4" t="n">
        <v>26598</v>
      </c>
      <c r="D9" s="4" t="n">
        <v>24870</v>
      </c>
      <c r="E9" s="4" t="n">
        <v>28400</v>
      </c>
      <c r="F9" s="4" t="n">
        <v>29500</v>
      </c>
    </row>
    <row r="10">
      <c r="A10" s="3" t="inlineStr">
        <is>
          <t>SG&amp;A Ratio</t>
        </is>
      </c>
      <c r="B10" s="5" t="n"/>
      <c r="C10" s="5" t="n">
        <v>0.094</v>
      </c>
      <c r="D10" s="5" t="n">
        <v>0.0809</v>
      </c>
      <c r="E10" s="5" t="n">
        <v>0.08110000000000001</v>
      </c>
      <c r="F10" s="5" t="n">
        <v>0.0732</v>
      </c>
    </row>
    <row r="11">
      <c r="A11" s="3" t="inlineStr">
        <is>
          <t>EBIT ($M)</t>
        </is>
      </c>
      <c r="B11" s="6" t="n"/>
      <c r="C11" s="6" t="n">
        <v>74988</v>
      </c>
      <c r="D11" s="6" t="n">
        <v>84233</v>
      </c>
      <c r="E11" s="6" t="n">
        <v>112230</v>
      </c>
      <c r="F11" s="6" t="n">
        <v>128940</v>
      </c>
    </row>
    <row r="12">
      <c r="A12" s="3" t="inlineStr">
        <is>
          <t>EBIT Margin</t>
        </is>
      </c>
      <c r="B12" s="5" t="n"/>
      <c r="C12" s="5" t="n">
        <v>0.2651</v>
      </c>
      <c r="D12" s="5" t="n">
        <v>0.274</v>
      </c>
      <c r="E12" s="5" t="n">
        <v>0.3206</v>
      </c>
      <c r="F12" s="5" t="n">
        <v>0.32</v>
      </c>
    </row>
    <row r="13">
      <c r="A13" s="3" t="inlineStr">
        <is>
          <t>Net Income ($M)</t>
        </is>
      </c>
      <c r="B13" s="4" t="n"/>
      <c r="C13" s="4" t="n">
        <v>59972</v>
      </c>
      <c r="D13" s="4" t="n">
        <v>73795</v>
      </c>
      <c r="E13" s="4" t="n">
        <v>100118</v>
      </c>
      <c r="F13" s="4" t="n">
        <v>132190</v>
      </c>
    </row>
    <row r="14">
      <c r="A14" s="3" t="inlineStr">
        <is>
          <t>Net Margin</t>
        </is>
      </c>
      <c r="B14" s="5" t="n"/>
      <c r="C14" s="5" t="n">
        <v>0.212</v>
      </c>
      <c r="D14" s="5" t="n">
        <v>0.2401</v>
      </c>
      <c r="E14" s="5" t="n">
        <v>0.286</v>
      </c>
      <c r="F14" s="5" t="n">
        <v>0.3282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1" t="inlineStr">
        <is>
          <t>Metric</t>
        </is>
      </c>
    </row>
    <row r="2">
      <c r="A2" s="3" t="inlineStr">
        <is>
          <t>Current Market Cap ($B)</t>
        </is>
      </c>
      <c r="B2" s="7" t="n">
        <v>4692.9</v>
      </c>
    </row>
    <row r="3">
      <c r="A3" s="3" t="inlineStr">
        <is>
          <t>Current Price ($)</t>
        </is>
      </c>
      <c r="B3" s="8" t="n">
        <v>387.35</v>
      </c>
    </row>
    <row r="4">
      <c r="A4" s="3" t="inlineStr">
        <is>
          <t>PE (TTM)</t>
        </is>
      </c>
      <c r="B4" s="9" t="n">
        <v>29.6</v>
      </c>
    </row>
    <row r="5">
      <c r="A5" s="3" t="inlineStr">
        <is>
          <t>PE (Forward)</t>
        </is>
      </c>
      <c r="B5" s="9" t="n">
        <v>26.8</v>
      </c>
    </row>
    <row r="6">
      <c r="A6" s="3" t="inlineStr">
        <is>
          <t>Shares Outstanding (M)</t>
        </is>
      </c>
      <c r="B6" s="4" t="n">
        <v>5824</v>
      </c>
    </row>
    <row r="7">
      <c r="A7" s="3" t="inlineStr">
        <is>
          <t>52W High ($)</t>
        </is>
      </c>
      <c r="B7" s="8" t="n">
        <v>402</v>
      </c>
    </row>
    <row r="8">
      <c r="A8" s="3" t="inlineStr">
        <is>
          <t>52W Low ($)</t>
        </is>
      </c>
      <c r="B8" s="8" t="n">
        <v>159.61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10" t="inlineStr">
        <is>
          <t>Fiscal Year → Calendar Year Mapping</t>
        </is>
      </c>
    </row>
    <row r="3">
      <c r="A3" s="11" t="inlineStr">
        <is>
          <t>FY End Month:</t>
        </is>
      </c>
      <c r="B3" t="n">
        <v>12</v>
      </c>
    </row>
    <row r="4">
      <c r="A4" s="11" t="inlineStr">
        <is>
          <t>FY End Date:</t>
        </is>
      </c>
      <c r="B4" t="inlineStr">
        <is>
          <t>12-31</t>
        </is>
      </c>
    </row>
    <row r="5">
      <c r="A5" s="11" t="inlineStr">
        <is>
          <t>Calendar Year Aligned:</t>
        </is>
      </c>
      <c r="B5" s="12" t="inlineStr">
        <is>
          <t>Yes</t>
        </is>
      </c>
    </row>
    <row r="7">
      <c r="A7" s="13" t="inlineStr">
        <is>
          <t>FY ends in December, aligned with calendar year</t>
        </is>
      </c>
    </row>
    <row r="9">
      <c r="A9" s="14" t="inlineStr">
        <is>
          <t>Detailed Mappings:</t>
        </is>
      </c>
    </row>
    <row r="10">
      <c r="A10" s="1" t="inlineStr">
        <is>
          <t>Report Date</t>
        </is>
      </c>
      <c r="B10" s="1" t="inlineStr">
        <is>
          <t>FY Label</t>
        </is>
      </c>
      <c r="C10" s="1" t="inlineStr">
        <is>
          <t>Natural Year</t>
        </is>
      </c>
    </row>
    <row r="13">
      <c r="A13" s="11" t="inlineStr">
        <is>
          <t>Full Notes:</t>
        </is>
      </c>
    </row>
    <row r="14">
      <c r="A14" s="15" t="inlineStr">
        <is>
          <t>Google fiscal year ends December 31, aligned with calendar year. No mapping needed.</t>
        </is>
      </c>
    </row>
    <row r="15"/>
    <row r="16"/>
  </sheetData>
  <mergeCells count="3">
    <mergeCell ref="A1:C1"/>
    <mergeCell ref="A7:D7"/>
    <mergeCell ref="A14:D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</cols>
  <sheetData>
    <row r="1">
      <c r="A1" s="16" t="inlineStr">
        <is>
          <t>Active Scenario</t>
        </is>
      </c>
      <c r="B1" s="17" t="n">
        <v>2</v>
      </c>
    </row>
    <row r="2">
      <c r="A2" s="1" t="inlineStr">
        <is>
          <t>Metric</t>
        </is>
      </c>
      <c r="B2" s="1" t="n"/>
      <c r="C2" s="2" t="inlineStr">
        <is>
          <t>Bear</t>
        </is>
      </c>
      <c r="D2" s="2" t="inlineStr">
        <is>
          <t>Base</t>
        </is>
      </c>
      <c r="E2" s="2" t="inlineStr">
        <is>
          <t>Bull</t>
        </is>
      </c>
      <c r="F2" s="18" t="inlineStr">
        <is>
          <t>Active Value</t>
        </is>
      </c>
      <c r="G2" s="19" t="inlineStr">
        <is>
          <t>Source / Derivation</t>
        </is>
      </c>
    </row>
    <row r="3">
      <c r="A3" s="3" t="inlineStr">
        <is>
          <t>--- AIDC CapEx ---</t>
        </is>
      </c>
    </row>
    <row r="4">
      <c r="A4" s="3" t="inlineStr">
        <is>
          <t>AIDC CapEx Starting ($B)</t>
        </is>
      </c>
      <c r="C4" s="7" t="n">
        <v>3000</v>
      </c>
      <c r="D4" s="7" t="n">
        <v>3000</v>
      </c>
      <c r="E4" s="7" t="n">
        <v>3000</v>
      </c>
      <c r="F4" s="20">
        <f>INDEX(C4:E4,$B$1)</f>
        <v/>
      </c>
      <c r="G4" s="21" t="inlineStr">
        <is>
          <t>基于Gartner 2025全球IT支出预测(~$5T) × 数字化服务渗透率，取$3T作为GOOGL可参与市场</t>
        </is>
      </c>
    </row>
    <row r="5">
      <c r="A5" s="3" t="inlineStr">
        <is>
          <t>AIDC CapEx CAGR Y1-Y3</t>
        </is>
      </c>
      <c r="C5" s="22" t="n">
        <v>0.09</v>
      </c>
      <c r="D5" s="22" t="n">
        <v>0.14</v>
      </c>
      <c r="E5" s="22" t="n">
        <v>0.2</v>
      </c>
      <c r="F5" s="23">
        <f>INDEX(C5:E5,$B$1)</f>
        <v/>
      </c>
      <c r="G5" s="21" t="inlineStr">
        <is>
          <t>基于IDC/Gartner对AI和云计算支出的增速预测(15-25%)，Bear取低、Bull取高</t>
        </is>
      </c>
    </row>
    <row r="6">
      <c r="A6" s="3" t="inlineStr">
        <is>
          <t>AIDC CapEx CAGR Y4-Y6</t>
        </is>
      </c>
      <c r="C6" s="22" t="n">
        <v>0.06</v>
      </c>
      <c r="D6" s="22" t="n">
        <v>0.1</v>
      </c>
      <c r="E6" s="22" t="n">
        <v>0.14</v>
      </c>
      <c r="F6" s="23">
        <f>INDEX(C6:E6,$B$1)</f>
        <v/>
      </c>
      <c r="G6" s="21" t="inlineStr">
        <is>
          <t>增速衰减假设：参考S曲线，渗透率10%-50%阶段增速自然下降</t>
        </is>
      </c>
    </row>
    <row r="7">
      <c r="A7" s="3" t="inlineStr">
        <is>
          <t>AIDC CapEx CAGR Y7-Y10</t>
        </is>
      </c>
      <c r="C7" s="22" t="n">
        <v>0.04</v>
      </c>
      <c r="D7" s="22" t="n">
        <v>0.06</v>
      </c>
      <c r="E7" s="22" t="n">
        <v>0.09</v>
      </c>
      <c r="F7" s="23">
        <f>INDEX(C7:E7,$B$1)</f>
        <v/>
      </c>
      <c r="G7" s="21" t="inlineStr">
        <is>
          <t>长期增速向GDP+通胀回归(3-6%)，参考Cisco/AWS历史增速衰减轨迹</t>
        </is>
      </c>
    </row>
    <row r="8">
      <c r="A8" s="3" t="inlineStr">
        <is>
          <t>NVDA Addressable Rate</t>
        </is>
      </c>
      <c r="C8" s="22" t="n">
        <v>0.4</v>
      </c>
      <c r="D8" s="22" t="n">
        <v>0.4</v>
      </c>
      <c r="E8" s="22" t="n">
        <v>0.4</v>
      </c>
      <c r="F8" s="23">
        <f>INDEX(C8:E8,$B$1)</f>
        <v/>
      </c>
      <c r="G8" s="21" t="inlineStr">
        <is>
          <t>40%：基于GOOGL业务覆盖（搜索+Cloud+YouTube+Android）占全球数字支出的比例</t>
        </is>
      </c>
    </row>
    <row r="9">
      <c r="A9" s="3" t="inlineStr">
        <is>
          <t>Starting Share</t>
        </is>
      </c>
      <c r="C9" s="22" t="n">
        <v>0.336</v>
      </c>
      <c r="D9" s="22" t="n">
        <v>0.336</v>
      </c>
      <c r="E9" s="22" t="n">
        <v>0.336</v>
      </c>
      <c r="F9" s="23">
        <f>INDEX(C9:E9,$B$1)</f>
        <v/>
      </c>
      <c r="G9" s="21" t="inlineStr">
        <is>
          <t>33.6%：基于2025A实际收入/$3T SAM计算</t>
        </is>
      </c>
    </row>
    <row r="10">
      <c r="A10" s="3" t="inlineStr">
        <is>
          <t>Terminal Share</t>
        </is>
      </c>
      <c r="C10" s="22" t="n">
        <v>0.31</v>
      </c>
      <c r="D10" s="22" t="n">
        <v>0.34</v>
      </c>
      <c r="E10" s="22" t="n">
        <v>0.38</v>
      </c>
      <c r="F10" s="23">
        <f>INDEX(C10:E10,$B$1)</f>
        <v/>
      </c>
      <c r="G10" s="21" t="inlineStr">
        <is>
          <t>Bear 31%: 搜索被AI蚕食&gt;Cloud增量; Base 34%: 基本持平; Bull 38%: Cloud+AI持续抢份额</t>
        </is>
      </c>
    </row>
    <row r="11">
      <c r="A11" s="3" t="inlineStr">
        <is>
          <t>--- Profitability ---</t>
        </is>
      </c>
    </row>
    <row r="12">
      <c r="A12" s="3" t="inlineStr">
        <is>
          <t>Starting GM</t>
        </is>
      </c>
      <c r="C12" s="22" t="n">
        <v>0.597</v>
      </c>
      <c r="D12" s="22" t="n">
        <v>0.597</v>
      </c>
      <c r="E12" s="22" t="n">
        <v>0.597</v>
      </c>
      <c r="F12" s="23">
        <f>INDEX(C12:E12,$B$1)</f>
        <v/>
      </c>
      <c r="G12" s="21" t="inlineStr">
        <is>
          <t>59.7%：2025A实际毛利率</t>
        </is>
      </c>
    </row>
    <row r="13">
      <c r="A13" s="3" t="inlineStr">
        <is>
          <t>Terminal GM</t>
        </is>
      </c>
      <c r="C13" s="22" t="n">
        <v>0.58</v>
      </c>
      <c r="D13" s="22" t="n">
        <v>0.615</v>
      </c>
      <c r="E13" s="22" t="n">
        <v>0.64</v>
      </c>
      <c r="F13" s="23">
        <f>INDEX(C13:E13,$B$1)</f>
        <v/>
      </c>
      <c r="G13" s="21" t="inlineStr">
        <is>
          <t>Bear 58%: AI CapEx折旧压制; Base 61.5%: 每5年+1.8pp(参考2019-2025轨迹); Bull 64%: AI效率提升</t>
        </is>
      </c>
    </row>
    <row r="14">
      <c r="A14" s="3" t="inlineStr">
        <is>
          <t>Starting Exp Ratio</t>
        </is>
      </c>
      <c r="C14" s="22" t="n">
        <v>0.277</v>
      </c>
      <c r="D14" s="22" t="n">
        <v>0.277</v>
      </c>
      <c r="E14" s="22" t="n">
        <v>0.277</v>
      </c>
      <c r="F14" s="23">
        <f>INDEX(C14:E14,$B$1)</f>
        <v/>
      </c>
      <c r="G14" s="21" t="inlineStr">
        <is>
          <t>27.7%：2025A实际费用率(RD+SGA占收入比)</t>
        </is>
      </c>
    </row>
    <row r="15">
      <c r="A15" s="3" t="inlineStr">
        <is>
          <t>Terminal Exp Ratio</t>
        </is>
      </c>
      <c r="C15" s="22" t="n">
        <v>0.29</v>
      </c>
      <c r="D15" s="22" t="n">
        <v>0.26</v>
      </c>
      <c r="E15" s="22" t="n">
        <v>0.245</v>
      </c>
      <c r="F15" s="23">
        <f>INDEX(C15:E15,$B$1)</f>
        <v/>
      </c>
      <c r="G15" s="21" t="inlineStr">
        <is>
          <t>Bear 29%: 竞争加剧需更多投入; Base 26%: 规模效应-1.7pp; Bull 24.5%: AI自动化降本</t>
        </is>
      </c>
    </row>
    <row r="16">
      <c r="A16" s="3" t="inlineStr">
        <is>
          <t>Tax Rate</t>
        </is>
      </c>
      <c r="C16" s="22" t="n">
        <v>0.17</v>
      </c>
      <c r="D16" s="22" t="n">
        <v>0.15</v>
      </c>
      <c r="E16" s="22" t="n">
        <v>0.14</v>
      </c>
      <c r="F16" s="23">
        <f>INDEX(C16:E16,$B$1)</f>
        <v/>
      </c>
      <c r="G16" s="21" t="inlineStr">
        <is>
          <t>基于GOOGL历史有效税率14-17%，Bear取高、Bull取低</t>
        </is>
      </c>
    </row>
    <row r="17">
      <c r="A17" s="3" t="inlineStr">
        <is>
          <t>--- Valuation ---</t>
        </is>
      </c>
    </row>
    <row r="18">
      <c r="A18" s="3" t="inlineStr">
        <is>
          <t>Target PE</t>
        </is>
      </c>
      <c r="C18" s="9" t="n">
        <v>22</v>
      </c>
      <c r="D18" s="9" t="n">
        <v>27</v>
      </c>
      <c r="E18" s="9" t="n">
        <v>33</v>
      </c>
      <c r="F18" s="24">
        <f>INDEX(C18:E18,$B$1)</f>
        <v/>
      </c>
      <c r="G18" s="21" t="inlineStr">
        <is>
          <t>Bear 22x: 向历史中位PE回归; Base 27x: 接近当前PE; Bull 33x: AI溢价维持</t>
        </is>
      </c>
    </row>
    <row r="19">
      <c r="A19" s="3" t="inlineStr">
        <is>
          <t>Shares (M) (M)</t>
        </is>
      </c>
      <c r="C19" s="4" t="n">
        <v>5824</v>
      </c>
      <c r="D19" s="4" t="n">
        <v>5824</v>
      </c>
      <c r="E19" s="4" t="n">
        <v>5824</v>
      </c>
      <c r="F19" s="25">
        <f>INDEX(C19:E19,$B$1)</f>
        <v/>
      </c>
      <c r="G19" s="21" t="inlineStr">
        <is>
          <t>5824M：基于yfinance当前流通股数</t>
        </is>
      </c>
    </row>
  </sheetData>
  <dataValidations count="1">
    <dataValidation sqref="B1" showDropDown="0" showInputMessage="0" showErrorMessage="0" allowBlank="0" errorTitle="Invalid" error="1=Bear, 2=Base, 3=Bull" promptTitle="Select Scenario" prompt="1=Bear, 2=Base, 3=Bull" type="list">
      <formula1>"1,2,3"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Metric</t>
        </is>
      </c>
      <c r="B1" s="2" t="inlineStr">
        <is>
          <t>2026E</t>
        </is>
      </c>
      <c r="C1" s="2" t="inlineStr">
        <is>
          <t>2027E</t>
        </is>
      </c>
      <c r="D1" s="2" t="inlineStr">
        <is>
          <t>2028E</t>
        </is>
      </c>
      <c r="E1" s="2" t="inlineStr">
        <is>
          <t>2029E</t>
        </is>
      </c>
      <c r="F1" s="2" t="inlineStr">
        <is>
          <t>2030E</t>
        </is>
      </c>
      <c r="G1" s="2" t="inlineStr">
        <is>
          <t>2031E</t>
        </is>
      </c>
      <c r="H1" s="2" t="inlineStr">
        <is>
          <t>2032E</t>
        </is>
      </c>
      <c r="I1" s="2" t="inlineStr">
        <is>
          <t>2033E</t>
        </is>
      </c>
      <c r="J1" s="2" t="inlineStr">
        <is>
          <t>2034E</t>
        </is>
      </c>
      <c r="K1" s="2" t="inlineStr">
        <is>
          <t>2035E</t>
        </is>
      </c>
    </row>
    <row r="2">
      <c r="A2" s="26" t="inlineStr">
        <is>
          <t>--- Revenue Build-up ---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</row>
    <row r="3">
      <c r="A3" s="3" t="inlineStr">
        <is>
          <t>AIDC CapEx ($B)</t>
        </is>
      </c>
      <c r="B3" s="28">
        <f>'Assumptions'!$F$4*(1+'Assumptions'!$F$5)</f>
        <v/>
      </c>
      <c r="C3" s="28">
        <f>B3*(1+'Assumptions'!$F$5)</f>
        <v/>
      </c>
      <c r="D3" s="28">
        <f>C3*(1+'Assumptions'!$F$5)</f>
        <v/>
      </c>
      <c r="E3" s="28">
        <f>D3*(1+'Assumptions'!$F$6)</f>
        <v/>
      </c>
      <c r="F3" s="28">
        <f>E3*(1+'Assumptions'!$F$6)</f>
        <v/>
      </c>
      <c r="G3" s="28">
        <f>F3*(1+'Assumptions'!$F$6)</f>
        <v/>
      </c>
      <c r="H3" s="28">
        <f>G3*(1+'Assumptions'!$F$7)</f>
        <v/>
      </c>
      <c r="I3" s="28">
        <f>H3*(1+'Assumptions'!$F$7)</f>
        <v/>
      </c>
      <c r="J3" s="28">
        <f>I3*(1+'Assumptions'!$F$7)</f>
        <v/>
      </c>
      <c r="K3" s="28">
        <f>J3*(1+'Assumptions'!$F$7)</f>
        <v/>
      </c>
    </row>
    <row r="4">
      <c r="A4" s="3" t="inlineStr">
        <is>
          <t>Addressable Mkt ($B)</t>
        </is>
      </c>
      <c r="B4" s="28">
        <f>B3*'Assumptions'!$F$8</f>
        <v/>
      </c>
      <c r="C4" s="28">
        <f>C3*'Assumptions'!$F$8</f>
        <v/>
      </c>
      <c r="D4" s="28">
        <f>D3*'Assumptions'!$F$8</f>
        <v/>
      </c>
      <c r="E4" s="28">
        <f>E3*'Assumptions'!$F$8</f>
        <v/>
      </c>
      <c r="F4" s="28">
        <f>F3*'Assumptions'!$F$8</f>
        <v/>
      </c>
      <c r="G4" s="28">
        <f>G3*'Assumptions'!$F$8</f>
        <v/>
      </c>
      <c r="H4" s="28">
        <f>H3*'Assumptions'!$F$8</f>
        <v/>
      </c>
      <c r="I4" s="28">
        <f>I3*'Assumptions'!$F$8</f>
        <v/>
      </c>
      <c r="J4" s="28">
        <f>J3*'Assumptions'!$F$8</f>
        <v/>
      </c>
      <c r="K4" s="28">
        <f>K3*'Assumptions'!$F$8</f>
        <v/>
      </c>
    </row>
    <row r="5">
      <c r="A5" s="3" t="inlineStr">
        <is>
          <t>Market Share</t>
        </is>
      </c>
      <c r="B5" s="5">
        <f>'Assumptions'!$F$9+('Assumptions'!$F$10-'Assumptions'!$F$9)*0/9</f>
        <v/>
      </c>
      <c r="C5" s="5">
        <f>'Assumptions'!$F$9+('Assumptions'!$F$10-'Assumptions'!$F$9)*1/9</f>
        <v/>
      </c>
      <c r="D5" s="5">
        <f>'Assumptions'!$F$9+('Assumptions'!$F$10-'Assumptions'!$F$9)*2/9</f>
        <v/>
      </c>
      <c r="E5" s="5">
        <f>'Assumptions'!$F$9+('Assumptions'!$F$10-'Assumptions'!$F$9)*3/9</f>
        <v/>
      </c>
      <c r="F5" s="5">
        <f>'Assumptions'!$F$9+('Assumptions'!$F$10-'Assumptions'!$F$9)*4/9</f>
        <v/>
      </c>
      <c r="G5" s="5">
        <f>'Assumptions'!$F$9+('Assumptions'!$F$10-'Assumptions'!$F$9)*5/9</f>
        <v/>
      </c>
      <c r="H5" s="5">
        <f>'Assumptions'!$F$9+('Assumptions'!$F$10-'Assumptions'!$F$9)*6/9</f>
        <v/>
      </c>
      <c r="I5" s="5">
        <f>'Assumptions'!$F$9+('Assumptions'!$F$10-'Assumptions'!$F$9)*7/9</f>
        <v/>
      </c>
      <c r="J5" s="5">
        <f>'Assumptions'!$F$9+('Assumptions'!$F$10-'Assumptions'!$F$9)*8/9</f>
        <v/>
      </c>
      <c r="K5" s="5">
        <f>'Assumptions'!$F$9+('Assumptions'!$F$10-'Assumptions'!$F$9)*9/9</f>
        <v/>
      </c>
    </row>
    <row r="6">
      <c r="A6" s="3" t="inlineStr">
        <is>
          <t>Revenue ($B)</t>
        </is>
      </c>
      <c r="B6" s="29">
        <f>B4*B5</f>
        <v/>
      </c>
      <c r="C6" s="29">
        <f>C4*C5</f>
        <v/>
      </c>
      <c r="D6" s="29">
        <f>D4*D5</f>
        <v/>
      </c>
      <c r="E6" s="29">
        <f>E4*E5</f>
        <v/>
      </c>
      <c r="F6" s="29">
        <f>F4*F5</f>
        <v/>
      </c>
      <c r="G6" s="29">
        <f>G4*G5</f>
        <v/>
      </c>
      <c r="H6" s="29">
        <f>H4*H5</f>
        <v/>
      </c>
      <c r="I6" s="29">
        <f>I4*I5</f>
        <v/>
      </c>
      <c r="J6" s="29">
        <f>J4*J5</f>
        <v/>
      </c>
      <c r="K6" s="29">
        <f>K4*K5</f>
        <v/>
      </c>
    </row>
    <row r="7">
      <c r="A7" s="3" t="inlineStr">
        <is>
          <t>Rev Growth</t>
        </is>
      </c>
      <c r="B7" s="5">
        <f>(B6*1000-402779)/402779</f>
        <v/>
      </c>
      <c r="C7" s="5">
        <f>(C6-B6)/B6</f>
        <v/>
      </c>
      <c r="D7" s="5">
        <f>(D6-C6)/C6</f>
        <v/>
      </c>
      <c r="E7" s="5">
        <f>(E6-D6)/D6</f>
        <v/>
      </c>
      <c r="F7" s="5">
        <f>(F6-E6)/E6</f>
        <v/>
      </c>
      <c r="G7" s="5">
        <f>(G6-F6)/F6</f>
        <v/>
      </c>
      <c r="H7" s="5">
        <f>(H6-G6)/G6</f>
        <v/>
      </c>
      <c r="I7" s="5">
        <f>(I6-H6)/H6</f>
        <v/>
      </c>
      <c r="J7" s="5">
        <f>(J6-I6)/I6</f>
        <v/>
      </c>
      <c r="K7" s="5">
        <f>(K6-J6)/J6</f>
        <v/>
      </c>
    </row>
    <row r="9">
      <c r="A9" s="26" t="inlineStr">
        <is>
          <t>--- Profit Build-up ---</t>
        </is>
      </c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</row>
    <row r="10">
      <c r="A10" s="3" t="inlineStr">
        <is>
          <t>Gross Margin</t>
        </is>
      </c>
      <c r="B10" s="5">
        <f>'Assumptions'!$F$12+('Assumptions'!$F$13-'Assumptions'!$F$12)*0/9</f>
        <v/>
      </c>
      <c r="C10" s="5">
        <f>'Assumptions'!$F$12+('Assumptions'!$F$13-'Assumptions'!$F$12)*1/9</f>
        <v/>
      </c>
      <c r="D10" s="5">
        <f>'Assumptions'!$F$12+('Assumptions'!$F$13-'Assumptions'!$F$12)*2/9</f>
        <v/>
      </c>
      <c r="E10" s="5">
        <f>'Assumptions'!$F$12+('Assumptions'!$F$13-'Assumptions'!$F$12)*3/9</f>
        <v/>
      </c>
      <c r="F10" s="5">
        <f>'Assumptions'!$F$12+('Assumptions'!$F$13-'Assumptions'!$F$12)*4/9</f>
        <v/>
      </c>
      <c r="G10" s="5">
        <f>'Assumptions'!$F$12+('Assumptions'!$F$13-'Assumptions'!$F$12)*5/9</f>
        <v/>
      </c>
      <c r="H10" s="5">
        <f>'Assumptions'!$F$12+('Assumptions'!$F$13-'Assumptions'!$F$12)*6/9</f>
        <v/>
      </c>
      <c r="I10" s="5">
        <f>'Assumptions'!$F$12+('Assumptions'!$F$13-'Assumptions'!$F$12)*7/9</f>
        <v/>
      </c>
      <c r="J10" s="5">
        <f>'Assumptions'!$F$12+('Assumptions'!$F$13-'Assumptions'!$F$12)*8/9</f>
        <v/>
      </c>
      <c r="K10" s="5">
        <f>'Assumptions'!$F$12+('Assumptions'!$F$13-'Assumptions'!$F$12)*9/9</f>
        <v/>
      </c>
    </row>
    <row r="11">
      <c r="A11" s="3" t="inlineStr">
        <is>
          <t>Gross Profit ($B)</t>
        </is>
      </c>
      <c r="B11" s="28">
        <f>B6*B10</f>
        <v/>
      </c>
      <c r="C11" s="28">
        <f>C6*C10</f>
        <v/>
      </c>
      <c r="D11" s="28">
        <f>D6*D10</f>
        <v/>
      </c>
      <c r="E11" s="28">
        <f>E6*E10</f>
        <v/>
      </c>
      <c r="F11" s="28">
        <f>F6*F10</f>
        <v/>
      </c>
      <c r="G11" s="28">
        <f>G6*G10</f>
        <v/>
      </c>
      <c r="H11" s="28">
        <f>H6*H10</f>
        <v/>
      </c>
      <c r="I11" s="28">
        <f>I6*I10</f>
        <v/>
      </c>
      <c r="J11" s="28">
        <f>J6*J10</f>
        <v/>
      </c>
      <c r="K11" s="28">
        <f>K6*K10</f>
        <v/>
      </c>
    </row>
    <row r="12">
      <c r="A12" s="3" t="inlineStr">
        <is>
          <t>Expense Ratio</t>
        </is>
      </c>
      <c r="B12" s="5">
        <f>'Assumptions'!$F$14+('Assumptions'!$F$15-'Assumptions'!$F$14)*0/9</f>
        <v/>
      </c>
      <c r="C12" s="5">
        <f>'Assumptions'!$F$14+('Assumptions'!$F$15-'Assumptions'!$F$14)*1/9</f>
        <v/>
      </c>
      <c r="D12" s="5">
        <f>'Assumptions'!$F$14+('Assumptions'!$F$15-'Assumptions'!$F$14)*2/9</f>
        <v/>
      </c>
      <c r="E12" s="5">
        <f>'Assumptions'!$F$14+('Assumptions'!$F$15-'Assumptions'!$F$14)*3/9</f>
        <v/>
      </c>
      <c r="F12" s="5">
        <f>'Assumptions'!$F$14+('Assumptions'!$F$15-'Assumptions'!$F$14)*4/9</f>
        <v/>
      </c>
      <c r="G12" s="5">
        <f>'Assumptions'!$F$14+('Assumptions'!$F$15-'Assumptions'!$F$14)*5/9</f>
        <v/>
      </c>
      <c r="H12" s="5">
        <f>'Assumptions'!$F$14+('Assumptions'!$F$15-'Assumptions'!$F$14)*6/9</f>
        <v/>
      </c>
      <c r="I12" s="5">
        <f>'Assumptions'!$F$14+('Assumptions'!$F$15-'Assumptions'!$F$14)*7/9</f>
        <v/>
      </c>
      <c r="J12" s="5">
        <f>'Assumptions'!$F$14+('Assumptions'!$F$15-'Assumptions'!$F$14)*8/9</f>
        <v/>
      </c>
      <c r="K12" s="5">
        <f>'Assumptions'!$F$14+('Assumptions'!$F$15-'Assumptions'!$F$14)*9/9</f>
        <v/>
      </c>
    </row>
    <row r="13">
      <c r="A13" s="3" t="inlineStr">
        <is>
          <t>OpEx ($B)</t>
        </is>
      </c>
      <c r="B13" s="28">
        <f>B6*B12</f>
        <v/>
      </c>
      <c r="C13" s="28">
        <f>C6*C12</f>
        <v/>
      </c>
      <c r="D13" s="28">
        <f>D6*D12</f>
        <v/>
      </c>
      <c r="E13" s="28">
        <f>E6*E12</f>
        <v/>
      </c>
      <c r="F13" s="28">
        <f>F6*F12</f>
        <v/>
      </c>
      <c r="G13" s="28">
        <f>G6*G12</f>
        <v/>
      </c>
      <c r="H13" s="28">
        <f>H6*H12</f>
        <v/>
      </c>
      <c r="I13" s="28">
        <f>I6*I12</f>
        <v/>
      </c>
      <c r="J13" s="28">
        <f>J6*J12</f>
        <v/>
      </c>
      <c r="K13" s="28">
        <f>K6*K12</f>
        <v/>
      </c>
    </row>
    <row r="14">
      <c r="A14" s="3" t="inlineStr">
        <is>
          <t>EBIT ($B)</t>
        </is>
      </c>
      <c r="B14" s="28">
        <f>B11-B13</f>
        <v/>
      </c>
      <c r="C14" s="28">
        <f>C11-C13</f>
        <v/>
      </c>
      <c r="D14" s="28">
        <f>D11-D13</f>
        <v/>
      </c>
      <c r="E14" s="28">
        <f>E11-E13</f>
        <v/>
      </c>
      <c r="F14" s="28">
        <f>F11-F13</f>
        <v/>
      </c>
      <c r="G14" s="28">
        <f>G11-G13</f>
        <v/>
      </c>
      <c r="H14" s="28">
        <f>H11-H13</f>
        <v/>
      </c>
      <c r="I14" s="28">
        <f>I11-I13</f>
        <v/>
      </c>
      <c r="J14" s="28">
        <f>J11-J13</f>
        <v/>
      </c>
      <c r="K14" s="28">
        <f>K11-K13</f>
        <v/>
      </c>
    </row>
    <row r="15">
      <c r="A15" s="3" t="inlineStr">
        <is>
          <t>Tax Rate</t>
        </is>
      </c>
      <c r="B15" s="30">
        <f>'Assumptions'!$F$16</f>
        <v/>
      </c>
      <c r="C15" s="30">
        <f>'Assumptions'!$F$16</f>
        <v/>
      </c>
      <c r="D15" s="30">
        <f>'Assumptions'!$F$16</f>
        <v/>
      </c>
      <c r="E15" s="30">
        <f>'Assumptions'!$F$16</f>
        <v/>
      </c>
      <c r="F15" s="30">
        <f>'Assumptions'!$F$16</f>
        <v/>
      </c>
      <c r="G15" s="30">
        <f>'Assumptions'!$F$16</f>
        <v/>
      </c>
      <c r="H15" s="30">
        <f>'Assumptions'!$F$16</f>
        <v/>
      </c>
      <c r="I15" s="30">
        <f>'Assumptions'!$F$16</f>
        <v/>
      </c>
      <c r="J15" s="30">
        <f>'Assumptions'!$F$16</f>
        <v/>
      </c>
      <c r="K15" s="30">
        <f>'Assumptions'!$F$16</f>
        <v/>
      </c>
    </row>
    <row r="16">
      <c r="A16" s="3" t="inlineStr">
        <is>
          <t>Net Income ($B)</t>
        </is>
      </c>
      <c r="B16" s="29">
        <f>B14*(1-B15)</f>
        <v/>
      </c>
      <c r="C16" s="29">
        <f>C14*(1-C15)</f>
        <v/>
      </c>
      <c r="D16" s="29">
        <f>D14*(1-D15)</f>
        <v/>
      </c>
      <c r="E16" s="29">
        <f>E14*(1-E15)</f>
        <v/>
      </c>
      <c r="F16" s="29">
        <f>F14*(1-F15)</f>
        <v/>
      </c>
      <c r="G16" s="29">
        <f>G14*(1-G15)</f>
        <v/>
      </c>
      <c r="H16" s="29">
        <f>H14*(1-H15)</f>
        <v/>
      </c>
      <c r="I16" s="29">
        <f>I14*(1-I15)</f>
        <v/>
      </c>
      <c r="J16" s="29">
        <f>J14*(1-J15)</f>
        <v/>
      </c>
      <c r="K16" s="29">
        <f>K14*(1-K15)</f>
        <v/>
      </c>
    </row>
    <row r="18">
      <c r="A18" s="26" t="inlineStr">
        <is>
          <t>--- Valuation ---</t>
        </is>
      </c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</row>
    <row r="19">
      <c r="A19" s="3" t="inlineStr">
        <is>
          <t>Target PE</t>
        </is>
      </c>
      <c r="B19" s="31">
        <f>'Assumptions'!$F$18</f>
        <v/>
      </c>
      <c r="C19" s="31">
        <f>'Assumptions'!$F$18</f>
        <v/>
      </c>
      <c r="D19" s="31">
        <f>'Assumptions'!$F$18</f>
        <v/>
      </c>
      <c r="E19" s="31">
        <f>'Assumptions'!$F$18</f>
        <v/>
      </c>
      <c r="F19" s="31">
        <f>'Assumptions'!$F$18</f>
        <v/>
      </c>
      <c r="G19" s="31">
        <f>'Assumptions'!$F$18</f>
        <v/>
      </c>
      <c r="H19" s="31">
        <f>'Assumptions'!$F$18</f>
        <v/>
      </c>
      <c r="I19" s="31">
        <f>'Assumptions'!$F$18</f>
        <v/>
      </c>
      <c r="J19" s="31">
        <f>'Assumptions'!$F$18</f>
        <v/>
      </c>
      <c r="K19" s="31">
        <f>'Assumptions'!$F$18</f>
        <v/>
      </c>
    </row>
    <row r="20">
      <c r="A20" s="3" t="inlineStr">
        <is>
          <t>Implied Mkt Cap ($B)</t>
        </is>
      </c>
      <c r="B20" s="29">
        <f>B16*B19</f>
        <v/>
      </c>
      <c r="C20" s="29">
        <f>C16*C19</f>
        <v/>
      </c>
      <c r="D20" s="29">
        <f>D16*D19</f>
        <v/>
      </c>
      <c r="E20" s="29">
        <f>E16*E19</f>
        <v/>
      </c>
      <c r="F20" s="29">
        <f>F16*F19</f>
        <v/>
      </c>
      <c r="G20" s="29">
        <f>G16*G19</f>
        <v/>
      </c>
      <c r="H20" s="29">
        <f>H16*H19</f>
        <v/>
      </c>
      <c r="I20" s="29">
        <f>I16*I19</f>
        <v/>
      </c>
      <c r="J20" s="29">
        <f>J16*J19</f>
        <v/>
      </c>
      <c r="K20" s="29">
        <f>K16*K19</f>
        <v/>
      </c>
    </row>
    <row r="21">
      <c r="A21" s="3" t="inlineStr">
        <is>
          <t>Shares (M)</t>
        </is>
      </c>
      <c r="B21" s="32">
        <f>'Assumptions'!$F$19</f>
        <v/>
      </c>
      <c r="C21" s="32">
        <f>'Assumptions'!$F$19</f>
        <v/>
      </c>
      <c r="D21" s="32">
        <f>'Assumptions'!$F$19</f>
        <v/>
      </c>
      <c r="E21" s="32">
        <f>'Assumptions'!$F$19</f>
        <v/>
      </c>
      <c r="F21" s="32">
        <f>'Assumptions'!$F$19</f>
        <v/>
      </c>
      <c r="G21" s="32">
        <f>'Assumptions'!$F$19</f>
        <v/>
      </c>
      <c r="H21" s="32">
        <f>'Assumptions'!$F$19</f>
        <v/>
      </c>
      <c r="I21" s="32">
        <f>'Assumptions'!$F$19</f>
        <v/>
      </c>
      <c r="J21" s="32">
        <f>'Assumptions'!$F$19</f>
        <v/>
      </c>
      <c r="K21" s="32">
        <f>'Assumptions'!$F$19</f>
        <v/>
      </c>
    </row>
    <row r="22">
      <c r="A22" s="3" t="inlineStr">
        <is>
          <t>Implied Price ($)</t>
        </is>
      </c>
      <c r="B22" s="33">
        <f>B20*1000/B21</f>
        <v/>
      </c>
      <c r="C22" s="33">
        <f>C20*1000/C21</f>
        <v/>
      </c>
      <c r="D22" s="33">
        <f>D20*1000/D21</f>
        <v/>
      </c>
      <c r="E22" s="33">
        <f>E20*1000/E21</f>
        <v/>
      </c>
      <c r="F22" s="33">
        <f>F20*1000/F21</f>
        <v/>
      </c>
      <c r="G22" s="33">
        <f>G20*1000/G21</f>
        <v/>
      </c>
      <c r="H22" s="33">
        <f>H20*1000/H21</f>
        <v/>
      </c>
      <c r="I22" s="33">
        <f>I20*1000/I21</f>
        <v/>
      </c>
      <c r="J22" s="33">
        <f>J20*1000/J21</f>
        <v/>
      </c>
      <c r="K22" s="33">
        <f>K20*1000/K21</f>
        <v/>
      </c>
    </row>
    <row r="23">
      <c r="A23" s="3" t="inlineStr">
        <is>
          <t>vs Current Premium</t>
        </is>
      </c>
      <c r="B23" s="5">
        <f>(B22-387.35)/387.35</f>
        <v/>
      </c>
      <c r="C23" s="5">
        <f>(C22-387.35)/387.35</f>
        <v/>
      </c>
      <c r="D23" s="5">
        <f>(D22-387.35)/387.35</f>
        <v/>
      </c>
      <c r="E23" s="5">
        <f>(E22-387.35)/387.35</f>
        <v/>
      </c>
      <c r="F23" s="5">
        <f>(F22-387.35)/387.35</f>
        <v/>
      </c>
      <c r="G23" s="5">
        <f>(G22-387.35)/387.35</f>
        <v/>
      </c>
      <c r="H23" s="5">
        <f>(H22-387.35)/387.35</f>
        <v/>
      </c>
      <c r="I23" s="5">
        <f>(I22-387.35)/387.35</f>
        <v/>
      </c>
      <c r="J23" s="5">
        <f>(J22-387.35)/387.35</f>
        <v/>
      </c>
      <c r="K23" s="5">
        <f>(K22-387.35)/387.35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Metric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Status</t>
        </is>
      </c>
    </row>
    <row r="2">
      <c r="A2" s="3" t="inlineStr">
        <is>
          <t>[BEAR] 收入增速衰减</t>
        </is>
      </c>
      <c r="B2" s="34" t="inlineStr">
        <is>
          <t>✓</t>
        </is>
      </c>
      <c r="C2" s="34" t="inlineStr"/>
      <c r="D2" s="34" t="inlineStr"/>
      <c r="E2" s="34" t="inlineStr">
        <is>
          <t>✓ 通过</t>
        </is>
      </c>
    </row>
    <row r="3">
      <c r="A3" s="3" t="inlineStr">
        <is>
          <t>[BEAR] 毛利率范围</t>
        </is>
      </c>
      <c r="B3" s="34" t="inlineStr">
        <is>
          <t>✓</t>
        </is>
      </c>
      <c r="C3" s="34" t="inlineStr"/>
      <c r="D3" s="34" t="inlineStr"/>
      <c r="E3" s="34" t="inlineStr">
        <is>
          <t>✓ 通过</t>
        </is>
      </c>
    </row>
    <row r="4">
      <c r="A4" s="3" t="inlineStr">
        <is>
          <t>[BEAR] EBIT margin 合理</t>
        </is>
      </c>
      <c r="B4" s="34" t="inlineStr">
        <is>
          <t>✓</t>
        </is>
      </c>
      <c r="C4" s="34" t="inlineStr"/>
      <c r="D4" s="34" t="inlineStr"/>
      <c r="E4" s="34" t="inlineStr">
        <is>
          <t>✓ 通过</t>
        </is>
      </c>
    </row>
    <row r="5">
      <c r="A5" s="3" t="inlineStr">
        <is>
          <t>[BASE] 收入增速衰减</t>
        </is>
      </c>
      <c r="B5" s="34" t="inlineStr"/>
      <c r="C5" s="34" t="inlineStr">
        <is>
          <t>✓</t>
        </is>
      </c>
      <c r="D5" s="34" t="inlineStr"/>
      <c r="E5" s="34" t="inlineStr">
        <is>
          <t>✓ 通过</t>
        </is>
      </c>
    </row>
    <row r="6">
      <c r="A6" s="3" t="inlineStr">
        <is>
          <t>[BASE] 毛利率范围</t>
        </is>
      </c>
      <c r="B6" s="34" t="inlineStr"/>
      <c r="C6" s="34" t="inlineStr">
        <is>
          <t>✓</t>
        </is>
      </c>
      <c r="D6" s="34" t="inlineStr"/>
      <c r="E6" s="34" t="inlineStr">
        <is>
          <t>✓ 通过</t>
        </is>
      </c>
    </row>
    <row r="7">
      <c r="A7" s="3" t="inlineStr">
        <is>
          <t>[BASE] EBIT margin 合理</t>
        </is>
      </c>
      <c r="B7" s="34" t="inlineStr"/>
      <c r="C7" s="34" t="inlineStr">
        <is>
          <t>✓</t>
        </is>
      </c>
      <c r="D7" s="34" t="inlineStr"/>
      <c r="E7" s="34" t="inlineStr">
        <is>
          <t>✓ 通过</t>
        </is>
      </c>
    </row>
    <row r="8">
      <c r="A8" s="3" t="inlineStr">
        <is>
          <t>[BULL] 收入增速衰减</t>
        </is>
      </c>
      <c r="B8" s="34" t="inlineStr"/>
      <c r="C8" s="34" t="inlineStr"/>
      <c r="D8" s="34" t="inlineStr">
        <is>
          <t>✓</t>
        </is>
      </c>
      <c r="E8" s="34" t="inlineStr">
        <is>
          <t>✓ 通过</t>
        </is>
      </c>
    </row>
    <row r="9">
      <c r="A9" s="3" t="inlineStr">
        <is>
          <t>[BULL] 毛利率范围</t>
        </is>
      </c>
      <c r="B9" s="34" t="inlineStr"/>
      <c r="C9" s="34" t="inlineStr"/>
      <c r="D9" s="34" t="inlineStr">
        <is>
          <t>✓</t>
        </is>
      </c>
      <c r="E9" s="34" t="inlineStr">
        <is>
          <t>✓ 通过</t>
        </is>
      </c>
    </row>
    <row r="10">
      <c r="A10" s="3" t="inlineStr">
        <is>
          <t>[BULL] EBIT margin 合理</t>
        </is>
      </c>
      <c r="B10" s="34" t="inlineStr"/>
      <c r="C10" s="34" t="inlineStr"/>
      <c r="D10" s="34" t="inlineStr">
        <is>
          <t>✓</t>
        </is>
      </c>
      <c r="E10" s="34" t="inlineStr">
        <is>
          <t>✓ 通过</t>
        </is>
      </c>
    </row>
    <row r="11">
      <c r="A11" s="3" t="inlineStr">
        <is>
          <t>终年收入排序 Bull&gt;Base&gt;Bear</t>
        </is>
      </c>
      <c r="B11" s="34" t="inlineStr">
        <is>
          <t>$671B</t>
        </is>
      </c>
      <c r="C11" s="34" t="inlineStr">
        <is>
          <t>$1016B</t>
        </is>
      </c>
      <c r="D11" s="34" t="inlineStr">
        <is>
          <t>$1648B</t>
        </is>
      </c>
      <c r="E11" s="34" t="inlineStr">
        <is>
          <t>✓ 通过</t>
        </is>
      </c>
    </row>
    <row r="12">
      <c r="A12" s="3" t="inlineStr">
        <is>
          <t>终年净利排序 Bull&gt;Base&gt;Bear</t>
        </is>
      </c>
      <c r="B12" s="34" t="inlineStr">
        <is>
          <t>$162B</t>
        </is>
      </c>
      <c r="C12" s="34" t="inlineStr">
        <is>
          <t>$306B</t>
        </is>
      </c>
      <c r="D12" s="34" t="inlineStr">
        <is>
          <t>$560B</t>
        </is>
      </c>
      <c r="E12" s="34" t="inlineStr">
        <is>
          <t>✓ 通过</t>
        </is>
      </c>
    </row>
    <row r="13">
      <c r="A13" s="3" t="inlineStr">
        <is>
          <t>情景差距合理性 (B/B=133%, Bu/B=123%)</t>
        </is>
      </c>
      <c r="B13" s="34" t="inlineStr"/>
      <c r="C13" s="34" t="inlineStr"/>
      <c r="D13" s="34" t="inlineStr"/>
      <c r="E13" s="34" t="inlineStr">
        <is>
          <t>✓ 通过</t>
        </is>
      </c>
    </row>
    <row r="14">
      <c r="A14" s="3" t="inlineStr">
        <is>
          <t>Base CAGR (9.7%) vs MSFT历史 (~12%)</t>
        </is>
      </c>
      <c r="B14" s="34" t="inlineStr"/>
      <c r="C14" s="34" t="inlineStr">
        <is>
          <t>9.7%</t>
        </is>
      </c>
      <c r="D14" s="34" t="inlineStr"/>
      <c r="E14" s="34" t="inlineStr">
        <is>
          <t>✓ 合理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2026-05-13T05:46:07Z</dcterms:created>
  <dcterms:modified xmlns:dcterms="http://purl.org/dc/terms/" xmlns:xsi="http://www.w3.org/2001/XMLSchema-instance" xsi:type="dcterms:W3CDTF">2026-05-13T05:46:07Z</dcterms:modified>
</cp:coreProperties>
</file>