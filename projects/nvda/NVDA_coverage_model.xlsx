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历史" sheetId="1" state="visible" r:id="rId1"/>
    <sheet xmlns:r="http://schemas.openxmlformats.org/officeDocument/2006/relationships" name="分部历史" sheetId="2" state="visible" r:id="rId2"/>
    <sheet xmlns:r="http://schemas.openxmlformats.org/officeDocument/2006/relationships" name="假设" sheetId="3" state="visible" r:id="rId3"/>
    <sheet xmlns:r="http://schemas.openxmlformats.org/officeDocument/2006/relationships" name="预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FF"/>
    </font>
    <font>
      <color rgb="00000000"/>
    </font>
    <font>
      <b val="1"/>
      <color rgb="00666666"/>
    </font>
    <font>
      <color rgb="00008000"/>
    </font>
    <font>
      <i val="1"/>
      <color rgb="00808080"/>
    </font>
    <font>
      <b val="1"/>
      <color rgb="001F4E7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E8E8E8"/>
        <bgColor rgb="00E8E8E8"/>
      </patternFill>
    </fill>
    <fill>
      <patternFill patternType="solid">
        <fgColor rgb="00E2EFDA"/>
        <bgColor rgb="00E2EFDA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3" fontId="3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1" fillId="2" borderId="1" pivotButton="0" quotePrefix="0" xfId="0"/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2" fillId="8" borderId="1" pivotButton="0" quotePrefix="0" xfId="0"/>
    <xf numFmtId="0" fontId="0" fillId="8" borderId="1" pivotButton="0" quotePrefix="0" xfId="0"/>
    <xf numFmtId="165" fontId="6" fillId="6" borderId="1" applyAlignment="1" pivotButton="0" quotePrefix="0" xfId="0">
      <alignment horizontal="right"/>
    </xf>
    <xf numFmtId="0" fontId="7" fillId="9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right"/>
    </xf>
    <xf numFmtId="164" fontId="6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3" fontId="6" fillId="6" borderId="1" applyAlignment="1" pivotButton="0" quotePrefix="0" xfId="0">
      <alignment horizontal="right"/>
    </xf>
    <xf numFmtId="0" fontId="1" fillId="2" borderId="0" pivotButton="0" quotePrefix="0" xfId="0"/>
    <xf numFmtId="0" fontId="0" fillId="2" borderId="0" pivotButton="0" quotePrefix="0" xfId="0"/>
    <xf numFmtId="165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0" fontId="8" fillId="0" borderId="1" pivotButton="0" quotePrefix="0" xfId="0"/>
    <xf numFmtId="166" fontId="6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4" fontId="4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指标</t>
        </is>
      </c>
      <c r="B1" s="2" t="inlineStr">
        <is>
          <t>2022A</t>
        </is>
      </c>
      <c r="C1" s="2" t="inlineStr">
        <is>
          <t>2023A</t>
        </is>
      </c>
      <c r="D1" s="2" t="inlineStr">
        <is>
          <t>2024A</t>
        </is>
      </c>
      <c r="E1" s="2" t="inlineStr">
        <is>
          <t>2025A</t>
        </is>
      </c>
    </row>
    <row r="2">
      <c r="A2" s="3" t="inlineStr">
        <is>
          <t>收入 ($M)</t>
        </is>
      </c>
      <c r="B2" s="4" t="n">
        <v>26974000000</v>
      </c>
      <c r="C2" s="4" t="n">
        <v>60922000000</v>
      </c>
      <c r="D2" s="4" t="n">
        <v>130497000000</v>
      </c>
      <c r="E2" s="4" t="n">
        <v>215938000000</v>
      </c>
    </row>
    <row r="3">
      <c r="A3" s="3" t="inlineStr">
        <is>
          <t>收入增速</t>
        </is>
      </c>
      <c r="B3" s="5" t="n"/>
      <c r="C3" s="5" t="n">
        <v>1.2585</v>
      </c>
      <c r="D3" s="5" t="n">
        <v>1.142</v>
      </c>
      <c r="E3" s="5" t="n">
        <v>0.6546999999999999</v>
      </c>
    </row>
    <row r="4">
      <c r="A4" s="3" t="inlineStr">
        <is>
          <t>毛利 ($M)</t>
        </is>
      </c>
      <c r="B4" s="6" t="n">
        <v>15356000000</v>
      </c>
      <c r="C4" s="6" t="n">
        <v>44301000000</v>
      </c>
      <c r="D4" s="6" t="n">
        <v>97858000000</v>
      </c>
      <c r="E4" s="6" t="n">
        <v>153463000000</v>
      </c>
    </row>
    <row r="5">
      <c r="A5" s="3" t="inlineStr">
        <is>
          <t>毛利率</t>
        </is>
      </c>
      <c r="B5" s="5" t="n">
        <v>0.5693</v>
      </c>
      <c r="C5" s="5" t="n">
        <v>0.7272</v>
      </c>
      <c r="D5" s="5" t="n">
        <v>0.7499</v>
      </c>
      <c r="E5" s="5" t="n">
        <v>0.7107</v>
      </c>
    </row>
    <row r="6">
      <c r="A6" s="3" t="inlineStr">
        <is>
          <t>研发费用 ($M)</t>
        </is>
      </c>
      <c r="B6" s="4" t="n">
        <v>7339000000</v>
      </c>
      <c r="C6" s="4" t="n">
        <v>8675000000</v>
      </c>
      <c r="D6" s="4" t="n">
        <v>12914000000</v>
      </c>
      <c r="E6" s="4" t="n">
        <v>18497000000</v>
      </c>
    </row>
    <row r="7">
      <c r="A7" s="3" t="inlineStr">
        <is>
          <t>研发费用率</t>
        </is>
      </c>
      <c r="B7" s="5" t="n">
        <v>0.2721</v>
      </c>
      <c r="C7" s="5" t="n">
        <v>0.1424</v>
      </c>
      <c r="D7" s="5" t="n">
        <v>0.099</v>
      </c>
      <c r="E7" s="5" t="n">
        <v>0.0857</v>
      </c>
    </row>
    <row r="8">
      <c r="A8" s="3" t="inlineStr">
        <is>
          <t>EBIT ($M)</t>
        </is>
      </c>
      <c r="B8" s="6" t="n">
        <v>5577000000</v>
      </c>
      <c r="C8" s="6" t="n">
        <v>32972000000</v>
      </c>
      <c r="D8" s="6" t="n">
        <v>81453000000</v>
      </c>
      <c r="E8" s="6" t="n">
        <v>130387000000</v>
      </c>
    </row>
    <row r="9">
      <c r="A9" s="3" t="inlineStr">
        <is>
          <t>EBIT利润率</t>
        </is>
      </c>
      <c r="B9" s="5" t="n">
        <v>0.2068</v>
      </c>
      <c r="C9" s="5" t="n">
        <v>0.5412</v>
      </c>
      <c r="D9" s="5" t="n">
        <v>0.6242</v>
      </c>
      <c r="E9" s="5" t="n">
        <v>0.6038</v>
      </c>
    </row>
    <row r="10">
      <c r="A10" s="3" t="inlineStr">
        <is>
          <t>净利润 ($M)</t>
        </is>
      </c>
      <c r="B10" s="4" t="n">
        <v>4368000000</v>
      </c>
      <c r="C10" s="4" t="n">
        <v>29760000000</v>
      </c>
      <c r="D10" s="4" t="n">
        <v>72880000000</v>
      </c>
      <c r="E10" s="4" t="n">
        <v>120067000000</v>
      </c>
    </row>
    <row r="11">
      <c r="A11" s="3" t="inlineStr">
        <is>
          <t>净利率</t>
        </is>
      </c>
      <c r="B11" s="5" t="n">
        <v>0.1619</v>
      </c>
      <c r="C11" s="5" t="n">
        <v>0.4885</v>
      </c>
      <c r="D11" s="5" t="n">
        <v>0.5585</v>
      </c>
      <c r="E11" s="5" t="n">
        <v>0.556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分部</t>
        </is>
      </c>
      <c r="B1" s="2" t="inlineStr">
        <is>
          <t>2024A</t>
        </is>
      </c>
      <c r="C1" s="2" t="inlineStr">
        <is>
          <t>2025A</t>
        </is>
      </c>
      <c r="D1" s="2" t="inlineStr">
        <is>
          <t>2026A</t>
        </is>
      </c>
    </row>
    <row r="2">
      <c r="A2" s="3" t="inlineStr">
        <is>
          <t>Data Center</t>
        </is>
      </c>
      <c r="B2" s="7" t="n">
        <v>47.52</v>
      </c>
      <c r="C2" s="7" t="n">
        <v>115.19</v>
      </c>
      <c r="D2" s="7" t="n">
        <v>193.74</v>
      </c>
    </row>
    <row r="3">
      <c r="A3" s="3" t="inlineStr">
        <is>
          <t>Gaming</t>
        </is>
      </c>
      <c r="B3" s="7" t="n">
        <v>10.45</v>
      </c>
      <c r="C3" s="7" t="n">
        <v>11.35</v>
      </c>
      <c r="D3" s="7" t="n">
        <v>16.04</v>
      </c>
    </row>
    <row r="4">
      <c r="A4" s="3" t="inlineStr">
        <is>
          <t>Pro Visualization</t>
        </is>
      </c>
      <c r="B4" s="7" t="n">
        <v>1.55</v>
      </c>
      <c r="C4" s="7" t="n">
        <v>1.88</v>
      </c>
      <c r="D4" s="7" t="n">
        <v>3.19</v>
      </c>
    </row>
    <row r="5">
      <c r="A5" s="3" t="inlineStr">
        <is>
          <t>Automotive</t>
        </is>
      </c>
      <c r="B5" s="7" t="n">
        <v>1.09</v>
      </c>
      <c r="C5" s="7" t="n">
        <v>1.69</v>
      </c>
      <c r="D5" s="7" t="n">
        <v>2.35</v>
      </c>
    </row>
    <row r="6">
      <c r="A6" s="3" t="inlineStr">
        <is>
          <t>OEM &amp; Other</t>
        </is>
      </c>
      <c r="B6" s="7" t="n">
        <v>0.31</v>
      </c>
      <c r="C6" s="7" t="n">
        <v>0.39</v>
      </c>
      <c r="D6" s="7" t="n">
        <v>0.62</v>
      </c>
    </row>
    <row r="7">
      <c r="A7" s="3" t="inlineStr">
        <is>
          <t>Data Center 占比</t>
        </is>
      </c>
      <c r="B7" s="5">
        <f>B2/B7</f>
        <v/>
      </c>
      <c r="C7" s="5">
        <f>C2/C7</f>
        <v/>
      </c>
      <c r="D7" s="5">
        <f>D2/D7</f>
        <v/>
      </c>
    </row>
    <row r="8">
      <c r="A8" s="3" t="inlineStr">
        <is>
          <t>Gaming 占比</t>
        </is>
      </c>
      <c r="B8" s="5">
        <f>B3/B7</f>
        <v/>
      </c>
      <c r="C8" s="5">
        <f>C3/C7</f>
        <v/>
      </c>
      <c r="D8" s="5">
        <f>D3/D7</f>
        <v/>
      </c>
    </row>
    <row r="9">
      <c r="A9" s="3" t="inlineStr">
        <is>
          <t>Pro Visualization 占比</t>
        </is>
      </c>
      <c r="B9" s="5">
        <f>B4/B7</f>
        <v/>
      </c>
      <c r="C9" s="5">
        <f>C4/C7</f>
        <v/>
      </c>
      <c r="D9" s="5">
        <f>D4/D7</f>
        <v/>
      </c>
    </row>
    <row r="10">
      <c r="A10" s="3" t="inlineStr">
        <is>
          <t>Automotive 占比</t>
        </is>
      </c>
      <c r="B10" s="5">
        <f>B5/B7</f>
        <v/>
      </c>
      <c r="C10" s="5">
        <f>C5/C7</f>
        <v/>
      </c>
      <c r="D10" s="5">
        <f>D5/D7</f>
        <v/>
      </c>
    </row>
    <row r="11">
      <c r="A11" s="3" t="inlineStr">
        <is>
          <t>OEM &amp; Other 占比</t>
        </is>
      </c>
      <c r="B11" s="5">
        <f>B6/B7</f>
        <v/>
      </c>
      <c r="C11" s="5">
        <f>C6/C7</f>
        <v/>
      </c>
      <c r="D11" s="5">
        <f>D6/D7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</cols>
  <sheetData>
    <row r="1">
      <c r="A1" s="8" t="inlineStr">
        <is>
          <t>活跃情景</t>
        </is>
      </c>
      <c r="B1" s="9" t="n">
        <v>2</v>
      </c>
    </row>
    <row r="2">
      <c r="A2" s="1" t="inlineStr">
        <is>
          <t>指标</t>
        </is>
      </c>
      <c r="B2" s="1" t="n"/>
      <c r="C2" s="2" t="inlineStr">
        <is>
          <t>Bear</t>
        </is>
      </c>
      <c r="D2" s="2" t="inlineStr">
        <is>
          <t>Base</t>
        </is>
      </c>
      <c r="E2" s="2" t="inlineStr">
        <is>
          <t>Bull</t>
        </is>
      </c>
      <c r="F2" s="10" t="inlineStr">
        <is>
          <t>活跃值</t>
        </is>
      </c>
      <c r="G2" s="11" t="inlineStr">
        <is>
          <t>来源/推导依据</t>
        </is>
      </c>
    </row>
    <row r="3">
      <c r="A3" s="12" t="inlineStr">
        <is>
          <t>--- Data Center ---</t>
        </is>
      </c>
      <c r="B3" s="13" t="n"/>
      <c r="C3" s="13" t="n"/>
      <c r="D3" s="13" t="n"/>
      <c r="E3" s="13" t="n"/>
      <c r="F3" s="13" t="n"/>
      <c r="G3" s="13" t="n"/>
    </row>
    <row r="4">
      <c r="A4" s="3" t="inlineStr">
        <is>
          <t>AIDC CapEx 起始 ($B)</t>
        </is>
      </c>
      <c r="C4" s="7" t="n">
        <v>500</v>
      </c>
      <c r="D4" s="7" t="n">
        <v>550</v>
      </c>
      <c r="E4" s="7" t="n">
        <v>600</v>
      </c>
      <c r="F4" s="14">
        <f>INDEX(C4:E4,$B$1)</f>
        <v/>
      </c>
      <c r="G4" s="15" t="inlineStr">
        <is>
          <t>AIDC CapEx 2025E: Hyperscaler CapEx (MSFT+GOOG+META+AMZN) ≈$300B + Enterprise ≈$200B = $550B</t>
        </is>
      </c>
    </row>
    <row r="5">
      <c r="A5" s="3" t="inlineStr">
        <is>
          <t>AIDC CapEx CAGR Y1-3</t>
        </is>
      </c>
      <c r="C5" s="16" t="n">
        <v>0.12</v>
      </c>
      <c r="D5" s="16" t="n">
        <v>0.28</v>
      </c>
      <c r="E5" s="16" t="n">
        <v>0.42</v>
      </c>
      <c r="F5" s="17">
        <f>INDEX(C5:E5,$B$1)</f>
        <v/>
      </c>
      <c r="G5" s="15" t="inlineStr">
        <is>
          <t>Base 28%: Hyperscaler guided 30-40% growth, normalize to 28% for TAM</t>
        </is>
      </c>
    </row>
    <row r="6">
      <c r="A6" s="3" t="inlineStr">
        <is>
          <t>AIDC CapEx CAGR Y4-6</t>
        </is>
      </c>
      <c r="C6" s="16" t="n">
        <v>0.08</v>
      </c>
      <c r="D6" s="16" t="n">
        <v>0.16</v>
      </c>
      <c r="E6" s="16" t="n">
        <v>0.25</v>
      </c>
      <c r="F6" s="17">
        <f>INDEX(C6:E6,$B$1)</f>
        <v/>
      </c>
      <c r="G6" s="15" t="inlineStr">
        <is>
          <t>Deceleration phase: AI training demand normalizes, inference scales linearly</t>
        </is>
      </c>
    </row>
    <row r="7">
      <c r="A7" s="3" t="inlineStr">
        <is>
          <t>AIDC CapEx CAGR Y7-10</t>
        </is>
      </c>
      <c r="C7" s="16" t="n">
        <v>0.05</v>
      </c>
      <c r="D7" s="16" t="n">
        <v>0.08</v>
      </c>
      <c r="E7" s="16" t="n">
        <v>0.1</v>
      </c>
      <c r="F7" s="17">
        <f>INDEX(C7:E7,$B$1)</f>
        <v/>
      </c>
      <c r="G7" s="15" t="inlineStr">
        <is>
          <t>Long-term: AI infra utility, growth converges to GDP+inflation (~5-8%)</t>
        </is>
      </c>
    </row>
    <row r="8">
      <c r="A8" s="3" t="inlineStr">
        <is>
          <t>NVDA可触达率</t>
        </is>
      </c>
      <c r="C8" s="16" t="n">
        <v>0.395</v>
      </c>
      <c r="D8" s="16" t="n">
        <v>0.415</v>
      </c>
      <c r="E8" s="16" t="n">
        <v>0.435</v>
      </c>
      <c r="F8" s="17">
        <f>INDEX(C8:E8,$B$1)</f>
        <v/>
      </c>
      <c r="G8" s="15" t="inlineStr">
        <is>
          <t>41.5%: NVDA可触达=AIDC中GPU+IB网络部分。校准:$194B收入/85%市占率=$228B可触达,$228B/$550B=41.5%</t>
        </is>
      </c>
    </row>
    <row r="9">
      <c r="A9" s="3" t="inlineStr">
        <is>
          <t>AI GPU市占率 2025</t>
        </is>
      </c>
      <c r="C9" s="16" t="n">
        <v>0.85</v>
      </c>
      <c r="D9" s="16" t="n">
        <v>0.85</v>
      </c>
      <c r="E9" s="16" t="n">
        <v>0.85</v>
      </c>
      <c r="F9" s="17">
        <f>INDEX(C9:E9,$B$1)</f>
        <v/>
      </c>
      <c r="G9" s="15" t="inlineStr">
        <is>
          <t>85%: AI GPU market share (Visual Capitalist 86%, CarbonCredits 92%, Mizuho 70-95%, Yahoo 85%)</t>
        </is>
      </c>
    </row>
    <row r="10">
      <c r="A10" s="3" t="inlineStr">
        <is>
          <t>AI GPU市占率 2035</t>
        </is>
      </c>
      <c r="C10" s="16" t="n">
        <v>0.7</v>
      </c>
      <c r="D10" s="16" t="n">
        <v>0.85</v>
      </c>
      <c r="E10" s="16" t="n">
        <v>0.9</v>
      </c>
      <c r="F10" s="17">
        <f>INDEX(C10:E10,$B$1)</f>
        <v/>
      </c>
      <c r="G10" s="15" t="inlineStr">
        <is>
          <t>Base 85% hold: CUDA lock-in+NVLink+software. Bear 70% (AMD/custom ASIC). Bull 90% (networking gains)</t>
        </is>
      </c>
    </row>
    <row r="11">
      <c r="A11" s="12" t="inlineStr">
        <is>
          <t>--- Gaming ---</t>
        </is>
      </c>
      <c r="B11" s="13" t="n"/>
      <c r="C11" s="13" t="n"/>
      <c r="D11" s="13" t="n"/>
      <c r="E11" s="13" t="n"/>
      <c r="F11" s="13" t="n"/>
      <c r="G11" s="13" t="n"/>
    </row>
    <row r="12">
      <c r="A12" s="3" t="inlineStr">
        <is>
          <t>Gaming起始收入 ($B)</t>
        </is>
      </c>
      <c r="C12" s="7" t="n">
        <v>16</v>
      </c>
      <c r="D12" s="7" t="n">
        <v>16</v>
      </c>
      <c r="E12" s="7" t="n">
        <v>16</v>
      </c>
      <c r="F12" s="14">
        <f>INDEX(C12:E12,$B$1)</f>
        <v/>
      </c>
      <c r="G12" s="15" t="inlineStr">
        <is>
          <t>Gaming FY2026 $16.0B, GeForce GPU市场成熟但AI PC gaming带来增量</t>
        </is>
      </c>
    </row>
    <row r="13">
      <c r="A13" s="3" t="inlineStr">
        <is>
          <t>Gaming CAGR Y1-3</t>
        </is>
      </c>
      <c r="C13" s="16" t="n">
        <v>0.03</v>
      </c>
      <c r="D13" s="16" t="n">
        <v>0.1</v>
      </c>
      <c r="E13" s="16" t="n">
        <v>0.15</v>
      </c>
      <c r="F13" s="17">
        <f>INDEX(C13:E13,$B$1)</f>
        <v/>
      </c>
      <c r="G13" s="15" t="inlineStr">
        <is>
          <t>Base 10%: 受益AI PC gaming + 换机周期,但受DC产能挤压</t>
        </is>
      </c>
    </row>
    <row r="14">
      <c r="A14" s="3" t="inlineStr">
        <is>
          <t>Gaming CAGR Y4-6</t>
        </is>
      </c>
      <c r="C14" s="16" t="n">
        <v>0</v>
      </c>
      <c r="D14" s="16" t="n">
        <v>0.08</v>
      </c>
      <c r="E14" s="16" t="n">
        <v>0.12</v>
      </c>
      <c r="F14" s="17">
        <f>INDEX(C14:E14,$B$1)</f>
        <v/>
      </c>
      <c r="G14" s="15" t="inlineStr">
        <is>
          <t>Base 8%: 增速趋稳</t>
        </is>
      </c>
    </row>
    <row r="15">
      <c r="A15" s="3" t="inlineStr">
        <is>
          <t>Gaming CAGR Y7-10</t>
        </is>
      </c>
      <c r="C15" s="16" t="n">
        <v>-0.03</v>
      </c>
      <c r="D15" s="16" t="n">
        <v>0.05</v>
      </c>
      <c r="E15" s="16" t="n">
        <v>0.08</v>
      </c>
      <c r="F15" s="17">
        <f>INDEX(C15:E15,$B$1)</f>
        <v/>
      </c>
      <c r="G15" s="15" t="inlineStr">
        <is>
          <t>Base 5%: 成熟业务,接近GDP+</t>
        </is>
      </c>
    </row>
    <row r="16">
      <c r="A16" s="12" t="inlineStr">
        <is>
          <t>--- Pro Visualization ---</t>
        </is>
      </c>
      <c r="B16" s="13" t="n"/>
      <c r="C16" s="13" t="n"/>
      <c r="D16" s="13" t="n"/>
      <c r="E16" s="13" t="n"/>
      <c r="F16" s="13" t="n"/>
      <c r="G16" s="13" t="n"/>
    </row>
    <row r="17">
      <c r="A17" s="3" t="inlineStr">
        <is>
          <t>ProViz起始收入 ($B)</t>
        </is>
      </c>
      <c r="C17" s="7" t="n">
        <v>3.2</v>
      </c>
      <c r="D17" s="7" t="n">
        <v>3.2</v>
      </c>
      <c r="E17" s="7" t="n">
        <v>3.2</v>
      </c>
      <c r="F17" s="14">
        <f>INDEX(C17:E17,$B$1)</f>
        <v/>
      </c>
      <c r="G17" s="15" t="inlineStr">
        <is>
          <t>Pro Viz FY2026 $3.2B, RTX Pro工作站GPU受益AI设计师需求</t>
        </is>
      </c>
    </row>
    <row r="18">
      <c r="A18" s="3" t="inlineStr">
        <is>
          <t>ProViz CAGR Y1-3</t>
        </is>
      </c>
      <c r="C18" s="16" t="n">
        <v>0.1</v>
      </c>
      <c r="D18" s="16" t="n">
        <v>0.25</v>
      </c>
      <c r="E18" s="16" t="n">
        <v>0.4</v>
      </c>
      <c r="F18" s="17">
        <f>INDEX(C18:E18,$B$1)</f>
        <v/>
      </c>
      <c r="G18" s="15" t="inlineStr">
        <is>
          <t>Base 25%: AI工作站需求快速增长,RXT Pro GPU渗透率提升</t>
        </is>
      </c>
    </row>
    <row r="19">
      <c r="A19" s="3" t="inlineStr">
        <is>
          <t>ProViz CAGR Y4-6</t>
        </is>
      </c>
      <c r="C19" s="16" t="n">
        <v>0.05</v>
      </c>
      <c r="D19" s="16" t="n">
        <v>0.18</v>
      </c>
      <c r="E19" s="16" t="n">
        <v>0.25</v>
      </c>
      <c r="F19" s="17">
        <f>INDEX(C19:E19,$B$1)</f>
        <v/>
      </c>
      <c r="G19" s="15" t="inlineStr">
        <is>
          <t>Base 18%: 增速从高基数回落</t>
        </is>
      </c>
    </row>
    <row r="20">
      <c r="A20" s="3" t="inlineStr">
        <is>
          <t>ProViz CAGR Y7-10</t>
        </is>
      </c>
      <c r="C20" s="16" t="n">
        <v>0.02</v>
      </c>
      <c r="D20" s="16" t="n">
        <v>0.1</v>
      </c>
      <c r="E20" s="16" t="n">
        <v>0.15</v>
      </c>
      <c r="F20" s="17">
        <f>INDEX(C20:E20,$B$1)</f>
        <v/>
      </c>
      <c r="G20" s="15" t="inlineStr">
        <is>
          <t>Base 10%: 成熟增长</t>
        </is>
      </c>
    </row>
    <row r="21">
      <c r="A21" s="12" t="inlineStr">
        <is>
          <t>--- Automotive ---</t>
        </is>
      </c>
      <c r="B21" s="13" t="n"/>
      <c r="C21" s="13" t="n"/>
      <c r="D21" s="13" t="n"/>
      <c r="E21" s="13" t="n"/>
      <c r="F21" s="13" t="n"/>
      <c r="G21" s="13" t="n"/>
    </row>
    <row r="22">
      <c r="A22" s="3" t="inlineStr">
        <is>
          <t>Auto起始收入 ($B)</t>
        </is>
      </c>
      <c r="C22" s="7" t="n">
        <v>2.4</v>
      </c>
      <c r="D22" s="7" t="n">
        <v>2.4</v>
      </c>
      <c r="E22" s="7" t="n">
        <v>2.4</v>
      </c>
      <c r="F22" s="14">
        <f>INDEX(C22:E22,$B$1)</f>
        <v/>
      </c>
      <c r="G22" s="15" t="inlineStr">
        <is>
          <t>Automotive FY2026 $2.4B, 自动驾驶+物理AI平台(Alpamayo+Mercedes)</t>
        </is>
      </c>
    </row>
    <row r="23">
      <c r="A23" s="3" t="inlineStr">
        <is>
          <t>Auto CAGR Y1-3</t>
        </is>
      </c>
      <c r="C23" s="16" t="n">
        <v>0.2</v>
      </c>
      <c r="D23" s="16" t="n">
        <v>0.4</v>
      </c>
      <c r="E23" s="16" t="n">
        <v>0.6</v>
      </c>
      <c r="F23" s="17">
        <f>INDEX(C23:E23,$B$1)</f>
        <v/>
      </c>
      <c r="G23" s="15" t="inlineStr">
        <is>
          <t>Base 40%: 自动驾驶市场快速增长,物理AI早期商业化</t>
        </is>
      </c>
    </row>
    <row r="24">
      <c r="A24" s="3" t="inlineStr">
        <is>
          <t>Auto CAGR Y4-6</t>
        </is>
      </c>
      <c r="C24" s="16" t="n">
        <v>0.12</v>
      </c>
      <c r="D24" s="16" t="n">
        <v>0.3</v>
      </c>
      <c r="E24" s="16" t="n">
        <v>0.4</v>
      </c>
      <c r="F24" s="17">
        <f>INDEX(C24:E24,$B$1)</f>
        <v/>
      </c>
      <c r="G24" s="15" t="inlineStr">
        <is>
          <t>Base 30%: 渗透率提升,维持高增长</t>
        </is>
      </c>
    </row>
    <row r="25">
      <c r="A25" s="3" t="inlineStr">
        <is>
          <t>Auto CAGR Y7-10</t>
        </is>
      </c>
      <c r="C25" s="16" t="n">
        <v>0.08</v>
      </c>
      <c r="D25" s="16" t="n">
        <v>0.15</v>
      </c>
      <c r="E25" s="16" t="n">
        <v>0.25</v>
      </c>
      <c r="F25" s="17">
        <f>INDEX(C25:E25,$B$1)</f>
        <v/>
      </c>
      <c r="G25" s="15" t="inlineStr">
        <is>
          <t>Base 15%: 增速随规模扩大而降</t>
        </is>
      </c>
    </row>
    <row r="26">
      <c r="A26" s="12" t="inlineStr">
        <is>
          <t>--- OEM &amp; Other ---</t>
        </is>
      </c>
      <c r="B26" s="13" t="n"/>
      <c r="C26" s="13" t="n"/>
      <c r="D26" s="13" t="n"/>
      <c r="E26" s="13" t="n"/>
      <c r="F26" s="13" t="n"/>
      <c r="G26" s="13" t="n"/>
    </row>
    <row r="27">
      <c r="A27" s="3" t="inlineStr">
        <is>
          <t>OEM起始收入 ($B)</t>
        </is>
      </c>
      <c r="C27" s="7" t="n">
        <v>0.6</v>
      </c>
      <c r="D27" s="7" t="n">
        <v>0.6</v>
      </c>
      <c r="E27" s="7" t="n">
        <v>0.6</v>
      </c>
      <c r="F27" s="14">
        <f>INDEX(C27:E27,$B$1)</f>
        <v/>
      </c>
      <c r="G27" s="15" t="inlineStr">
        <is>
          <t>OEM FY2026 $0.6B, 体量太小不增长建模</t>
        </is>
      </c>
    </row>
    <row r="28">
      <c r="A28" s="12" t="inlineStr">
        <is>
          <t>--- 利润率 ---</t>
        </is>
      </c>
      <c r="B28" s="13" t="n"/>
      <c r="C28" s="13" t="n"/>
      <c r="D28" s="13" t="n"/>
      <c r="E28" s="13" t="n"/>
      <c r="F28" s="13" t="n"/>
      <c r="G28" s="13" t="n"/>
    </row>
    <row r="29">
      <c r="A29" s="3" t="inlineStr">
        <is>
          <t>起始毛利率</t>
        </is>
      </c>
      <c r="C29" s="16" t="n">
        <v>0.71</v>
      </c>
      <c r="D29" s="16" t="n">
        <v>0.71</v>
      </c>
      <c r="E29" s="16" t="n">
        <v>0.71</v>
      </c>
      <c r="F29" s="17">
        <f>INDEX(C29:E29,$B$1)</f>
        <v/>
      </c>
      <c r="G29" s="15" t="inlineStr">
        <is>
          <t>71.1%: Actual FY2026 Q4. Blackwell ramp compressing from H100 peak 75%</t>
        </is>
      </c>
    </row>
    <row r="30">
      <c r="A30" s="3" t="inlineStr">
        <is>
          <t>终年毛利率</t>
        </is>
      </c>
      <c r="C30" s="16" t="n">
        <v>0.55</v>
      </c>
      <c r="D30" s="16" t="n">
        <v>0.61</v>
      </c>
      <c r="E30" s="16" t="n">
        <v>0.71</v>
      </c>
      <c r="F30" s="17">
        <f>INDEX(C30:E30,$B$1)</f>
        <v/>
      </c>
      <c r="G30" s="15" t="inlineStr">
        <is>
          <t>Base 61%: Competition+customer bargaining. Still premium vs historical 55-60%</t>
        </is>
      </c>
    </row>
    <row r="31">
      <c r="A31" s="3" t="inlineStr">
        <is>
          <t>起始费用率</t>
        </is>
      </c>
      <c r="C31" s="16" t="n">
        <v>0.17</v>
      </c>
      <c r="D31" s="16" t="n">
        <v>0.17</v>
      </c>
      <c r="E31" s="16" t="n">
        <v>0.17</v>
      </c>
      <c r="F31" s="17">
        <f>INDEX(C31:E31,$B$1)</f>
        <v/>
      </c>
      <c r="G31" s="15" t="inlineStr">
        <is>
          <t>17%: R&amp;D 12% + SG&amp;A 4.3%. Peak efficiency due to revenue scale</t>
        </is>
      </c>
    </row>
    <row r="32">
      <c r="A32" s="3" t="inlineStr">
        <is>
          <t>终年费用率</t>
        </is>
      </c>
      <c r="C32" s="16" t="n">
        <v>0.25</v>
      </c>
      <c r="D32" s="16" t="n">
        <v>0.2</v>
      </c>
      <c r="E32" s="16" t="n">
        <v>0.16</v>
      </c>
      <c r="F32" s="17">
        <f>INDEX(C32:E32,$B$1)</f>
        <v/>
      </c>
      <c r="G32" s="15" t="inlineStr">
        <is>
          <t>Base 20%: R&amp;D intensity rises as growth slows</t>
        </is>
      </c>
    </row>
    <row r="33">
      <c r="A33" s="3" t="inlineStr">
        <is>
          <t>税率</t>
        </is>
      </c>
      <c r="C33" s="16" t="n">
        <v>0.14</v>
      </c>
      <c r="D33" s="16" t="n">
        <v>0.13</v>
      </c>
      <c r="E33" s="16" t="n">
        <v>0.13</v>
      </c>
      <c r="F33" s="17">
        <f>INDEX(C33:E33,$B$1)</f>
        <v/>
      </c>
      <c r="G33" s="15" t="inlineStr">
        <is>
          <t>13%: NVDA effective rate FY2025. R&amp;D credits + foreign benefits</t>
        </is>
      </c>
    </row>
    <row r="34">
      <c r="A34" s="12" t="inlineStr">
        <is>
          <t>--- 估值 ---</t>
        </is>
      </c>
      <c r="B34" s="13" t="n"/>
      <c r="C34" s="13" t="n"/>
      <c r="D34" s="13" t="n"/>
      <c r="E34" s="13" t="n"/>
      <c r="F34" s="13" t="n"/>
      <c r="G34" s="13" t="n"/>
    </row>
    <row r="35">
      <c r="A35" s="3" t="inlineStr">
        <is>
          <t>起始PE</t>
        </is>
      </c>
      <c r="C35" s="18" t="n">
        <v>30</v>
      </c>
      <c r="D35" s="18" t="n">
        <v>40</v>
      </c>
      <c r="E35" s="18" t="n">
        <v>50</v>
      </c>
      <c r="F35" s="19">
        <f>INDEX(C35:E35,$B$1)</f>
        <v/>
      </c>
      <c r="G35" s="15" t="inlineStr">
        <is>
          <t>Base 起始40x: 低于5年中位50x，增长放缓。Bear 30x Bull 50x</t>
        </is>
      </c>
    </row>
    <row r="36">
      <c r="A36" s="3" t="inlineStr">
        <is>
          <t>终年PE</t>
        </is>
      </c>
      <c r="C36" s="18" t="n">
        <v>18</v>
      </c>
      <c r="D36" s="18" t="n">
        <v>25</v>
      </c>
      <c r="E36" s="18" t="n">
        <v>35</v>
      </c>
      <c r="F36" s="19">
        <f>INDEX(C36:E36,$B$1)</f>
        <v/>
      </c>
      <c r="G36" s="15" t="inlineStr">
        <is>
          <t>Base 终端25x: Intel/CSCO成熟期PE~20-25x，NVDA因CUDA生态有溢价</t>
        </is>
      </c>
    </row>
    <row r="37">
      <c r="A37" s="3" t="inlineStr">
        <is>
          <t>股份数 (M)</t>
        </is>
      </c>
      <c r="C37" s="4" t="n">
        <v>24434</v>
      </c>
      <c r="D37" s="4" t="n">
        <v>24434</v>
      </c>
      <c r="E37" s="4" t="n">
        <v>24434</v>
      </c>
      <c r="F37" s="20">
        <f>INDEX(C37:E37,$B$1)</f>
        <v/>
      </c>
      <c r="G37" s="15" t="inlineStr">
        <is>
          <t>24,434M: Current shares outstanding from yfinance</t>
        </is>
      </c>
    </row>
  </sheetData>
  <dataValidations count="1">
    <dataValidation sqref="B1" showDropDown="0" showInputMessage="0" showErrorMessage="0" allowBlank="0" error="1=Bear, 2=Base, 3=Bull" type="list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指标</t>
        </is>
      </c>
      <c r="B1" s="2" t="inlineStr">
        <is>
          <t>2025A</t>
        </is>
      </c>
      <c r="C1" s="2" t="inlineStr">
        <is>
          <t>2026E</t>
        </is>
      </c>
      <c r="D1" s="2" t="inlineStr">
        <is>
          <t>2027E</t>
        </is>
      </c>
      <c r="E1" s="2" t="inlineStr">
        <is>
          <t>2028E</t>
        </is>
      </c>
      <c r="F1" s="2" t="inlineStr">
        <is>
          <t>2029E</t>
        </is>
      </c>
      <c r="G1" s="2" t="inlineStr">
        <is>
          <t>2030E</t>
        </is>
      </c>
      <c r="H1" s="2" t="inlineStr">
        <is>
          <t>2031E</t>
        </is>
      </c>
      <c r="I1" s="2" t="inlineStr">
        <is>
          <t>2032E</t>
        </is>
      </c>
      <c r="J1" s="2" t="inlineStr">
        <is>
          <t>2033E</t>
        </is>
      </c>
      <c r="K1" s="2" t="inlineStr">
        <is>
          <t>2034E</t>
        </is>
      </c>
      <c r="L1" s="2" t="inlineStr">
        <is>
          <t>2035E</t>
        </is>
      </c>
    </row>
    <row r="2">
      <c r="A2" s="21" t="inlineStr">
        <is>
          <t>--- 收入推导: Data Center ---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>
      <c r="A3" s="3" t="inlineStr">
        <is>
          <t>AIDC CapEx 起始 ($B)</t>
        </is>
      </c>
      <c r="B3" s="23">
        <f>'假设'!$F$4</f>
        <v/>
      </c>
      <c r="C3" s="23">
        <f>'假设'!$F$4</f>
        <v/>
      </c>
      <c r="D3" s="23">
        <f>'假设'!$F$4</f>
        <v/>
      </c>
      <c r="E3" s="23">
        <f>'假设'!$F$4</f>
        <v/>
      </c>
      <c r="F3" s="23">
        <f>'假设'!$F$4</f>
        <v/>
      </c>
      <c r="G3" s="23">
        <f>'假设'!$F$4</f>
        <v/>
      </c>
      <c r="H3" s="23">
        <f>'假设'!$F$4</f>
        <v/>
      </c>
      <c r="I3" s="23">
        <f>'假设'!$F$4</f>
        <v/>
      </c>
      <c r="J3" s="23">
        <f>'假设'!$F$4</f>
        <v/>
      </c>
      <c r="K3" s="23">
        <f>'假设'!$F$4</f>
        <v/>
      </c>
      <c r="L3" s="23">
        <f>'假设'!$F$4</f>
        <v/>
      </c>
    </row>
    <row r="4">
      <c r="A4" s="3" t="inlineStr">
        <is>
          <t>AIDC CapEx CAGR Y1-3</t>
        </is>
      </c>
      <c r="B4" s="24">
        <f>'假设'!$F$5</f>
        <v/>
      </c>
      <c r="C4" s="24">
        <f>'假设'!$F$5</f>
        <v/>
      </c>
      <c r="D4" s="24">
        <f>'假设'!$F$5</f>
        <v/>
      </c>
      <c r="E4" s="24">
        <f>'假设'!$F$5</f>
        <v/>
      </c>
      <c r="F4" s="24">
        <f>'假设'!$F$5</f>
        <v/>
      </c>
      <c r="G4" s="24">
        <f>'假设'!$F$5</f>
        <v/>
      </c>
      <c r="H4" s="24">
        <f>'假设'!$F$5</f>
        <v/>
      </c>
      <c r="I4" s="24">
        <f>'假设'!$F$5</f>
        <v/>
      </c>
      <c r="J4" s="24">
        <f>'假设'!$F$5</f>
        <v/>
      </c>
      <c r="K4" s="24">
        <f>'假设'!$F$5</f>
        <v/>
      </c>
      <c r="L4" s="24">
        <f>'假设'!$F$5</f>
        <v/>
      </c>
    </row>
    <row r="5">
      <c r="A5" s="3" t="inlineStr">
        <is>
          <t>AIDC CapEx CAGR Y4-6</t>
        </is>
      </c>
      <c r="B5" s="24">
        <f>'假设'!$F$6</f>
        <v/>
      </c>
      <c r="C5" s="24">
        <f>'假设'!$F$6</f>
        <v/>
      </c>
      <c r="D5" s="24">
        <f>'假设'!$F$6</f>
        <v/>
      </c>
      <c r="E5" s="24">
        <f>'假设'!$F$6</f>
        <v/>
      </c>
      <c r="F5" s="24">
        <f>'假设'!$F$6</f>
        <v/>
      </c>
      <c r="G5" s="24">
        <f>'假设'!$F$6</f>
        <v/>
      </c>
      <c r="H5" s="24">
        <f>'假设'!$F$6</f>
        <v/>
      </c>
      <c r="I5" s="24">
        <f>'假设'!$F$6</f>
        <v/>
      </c>
      <c r="J5" s="24">
        <f>'假设'!$F$6</f>
        <v/>
      </c>
      <c r="K5" s="24">
        <f>'假设'!$F$6</f>
        <v/>
      </c>
      <c r="L5" s="24">
        <f>'假设'!$F$6</f>
        <v/>
      </c>
    </row>
    <row r="6">
      <c r="A6" s="3" t="inlineStr">
        <is>
          <t>AIDC CapEx CAGR Y7-10</t>
        </is>
      </c>
      <c r="B6" s="24">
        <f>'假设'!$F$7</f>
        <v/>
      </c>
      <c r="C6" s="24">
        <f>'假设'!$F$7</f>
        <v/>
      </c>
      <c r="D6" s="24">
        <f>'假设'!$F$7</f>
        <v/>
      </c>
      <c r="E6" s="24">
        <f>'假设'!$F$7</f>
        <v/>
      </c>
      <c r="F6" s="24">
        <f>'假设'!$F$7</f>
        <v/>
      </c>
      <c r="G6" s="24">
        <f>'假设'!$F$7</f>
        <v/>
      </c>
      <c r="H6" s="24">
        <f>'假设'!$F$7</f>
        <v/>
      </c>
      <c r="I6" s="24">
        <f>'假设'!$F$7</f>
        <v/>
      </c>
      <c r="J6" s="24">
        <f>'假设'!$F$7</f>
        <v/>
      </c>
      <c r="K6" s="24">
        <f>'假设'!$F$7</f>
        <v/>
      </c>
      <c r="L6" s="24">
        <f>'假设'!$F$7</f>
        <v/>
      </c>
    </row>
    <row r="7">
      <c r="A7" s="3" t="inlineStr">
        <is>
          <t>AIDC CapEx ($B)</t>
        </is>
      </c>
      <c r="B7" s="7">
        <f>'假设'!$F$4</f>
        <v/>
      </c>
      <c r="C7" s="25">
        <f>C3*(1+C4)</f>
        <v/>
      </c>
      <c r="D7" s="25">
        <f>C7*(1+D4)</f>
        <v/>
      </c>
      <c r="E7" s="25">
        <f>D7*(1+E5)</f>
        <v/>
      </c>
      <c r="F7" s="25">
        <f>E7*(1+F5)</f>
        <v/>
      </c>
      <c r="G7" s="25">
        <f>F7*(1+G5)</f>
        <v/>
      </c>
      <c r="H7" s="25">
        <f>G7*(1+H6)</f>
        <v/>
      </c>
      <c r="I7" s="25">
        <f>H7*(1+I6)</f>
        <v/>
      </c>
      <c r="J7" s="25">
        <f>I7*(1+J6)</f>
        <v/>
      </c>
      <c r="K7" s="25">
        <f>J7*(1+K6)</f>
        <v/>
      </c>
      <c r="L7" s="25">
        <f>K7*(1+L6)</f>
        <v/>
      </c>
    </row>
    <row r="8">
      <c r="A8" s="3" t="inlineStr">
        <is>
          <t>NVDA可触达率</t>
        </is>
      </c>
      <c r="B8" s="24">
        <f>'假设'!$F$8</f>
        <v/>
      </c>
      <c r="C8" s="24">
        <f>'假设'!$F$8</f>
        <v/>
      </c>
      <c r="D8" s="24">
        <f>'假设'!$F$8</f>
        <v/>
      </c>
      <c r="E8" s="24">
        <f>'假设'!$F$8</f>
        <v/>
      </c>
      <c r="F8" s="24">
        <f>'假设'!$F$8</f>
        <v/>
      </c>
      <c r="G8" s="24">
        <f>'假设'!$F$8</f>
        <v/>
      </c>
      <c r="H8" s="24">
        <f>'假设'!$F$8</f>
        <v/>
      </c>
      <c r="I8" s="24">
        <f>'假设'!$F$8</f>
        <v/>
      </c>
      <c r="J8" s="24">
        <f>'假设'!$F$8</f>
        <v/>
      </c>
      <c r="K8" s="24">
        <f>'假设'!$F$8</f>
        <v/>
      </c>
      <c r="L8" s="24">
        <f>'假设'!$F$8</f>
        <v/>
      </c>
    </row>
    <row r="9">
      <c r="A9" s="3" t="inlineStr">
        <is>
          <t>可触达市场 ($B)</t>
        </is>
      </c>
      <c r="B9" s="25">
        <f>B7*B8</f>
        <v/>
      </c>
      <c r="C9" s="25">
        <f>C7*C8</f>
        <v/>
      </c>
      <c r="D9" s="25">
        <f>D7*D8</f>
        <v/>
      </c>
      <c r="E9" s="25">
        <f>E7*E8</f>
        <v/>
      </c>
      <c r="F9" s="25">
        <f>F7*F8</f>
        <v/>
      </c>
      <c r="G9" s="25">
        <f>G7*G8</f>
        <v/>
      </c>
      <c r="H9" s="25">
        <f>H7*H8</f>
        <v/>
      </c>
      <c r="I9" s="25">
        <f>I7*I8</f>
        <v/>
      </c>
      <c r="J9" s="25">
        <f>J7*J8</f>
        <v/>
      </c>
      <c r="K9" s="25">
        <f>K7*K8</f>
        <v/>
      </c>
      <c r="L9" s="25">
        <f>L7*L8</f>
        <v/>
      </c>
    </row>
    <row r="10">
      <c r="A10" s="3" t="inlineStr">
        <is>
          <t>AI GPU市占率起始</t>
        </is>
      </c>
      <c r="B10" s="24">
        <f>'假设'!$F$9</f>
        <v/>
      </c>
      <c r="C10" s="24">
        <f>'假设'!$F$9</f>
        <v/>
      </c>
      <c r="D10" s="24">
        <f>'假设'!$F$9</f>
        <v/>
      </c>
      <c r="E10" s="24">
        <f>'假设'!$F$9</f>
        <v/>
      </c>
      <c r="F10" s="24">
        <f>'假设'!$F$9</f>
        <v/>
      </c>
      <c r="G10" s="24">
        <f>'假设'!$F$9</f>
        <v/>
      </c>
      <c r="H10" s="24">
        <f>'假设'!$F$9</f>
        <v/>
      </c>
      <c r="I10" s="24">
        <f>'假设'!$F$9</f>
        <v/>
      </c>
      <c r="J10" s="24">
        <f>'假设'!$F$9</f>
        <v/>
      </c>
      <c r="K10" s="24">
        <f>'假设'!$F$9</f>
        <v/>
      </c>
      <c r="L10" s="24">
        <f>'假设'!$F$9</f>
        <v/>
      </c>
    </row>
    <row r="11">
      <c r="A11" s="3" t="inlineStr">
        <is>
          <t>AI GPU市占率终年</t>
        </is>
      </c>
      <c r="B11" s="24">
        <f>'假设'!$F$10</f>
        <v/>
      </c>
      <c r="C11" s="24">
        <f>'假设'!$F$10</f>
        <v/>
      </c>
      <c r="D11" s="24">
        <f>'假设'!$F$10</f>
        <v/>
      </c>
      <c r="E11" s="24">
        <f>'假设'!$F$10</f>
        <v/>
      </c>
      <c r="F11" s="24">
        <f>'假设'!$F$10</f>
        <v/>
      </c>
      <c r="G11" s="24">
        <f>'假设'!$F$10</f>
        <v/>
      </c>
      <c r="H11" s="24">
        <f>'假设'!$F$10</f>
        <v/>
      </c>
      <c r="I11" s="24">
        <f>'假设'!$F$10</f>
        <v/>
      </c>
      <c r="J11" s="24">
        <f>'假设'!$F$10</f>
        <v/>
      </c>
      <c r="K11" s="24">
        <f>'假设'!$F$10</f>
        <v/>
      </c>
      <c r="L11" s="24">
        <f>'假设'!$F$10</f>
        <v/>
      </c>
    </row>
    <row r="12">
      <c r="A12" s="3" t="inlineStr">
        <is>
          <t>市占率</t>
        </is>
      </c>
      <c r="B12" s="5">
        <f>B10</f>
        <v/>
      </c>
      <c r="C12" s="5">
        <f>C10+(C11-C10)*1/10</f>
        <v/>
      </c>
      <c r="D12" s="5">
        <f>D10+(D11-D10)*2/10</f>
        <v/>
      </c>
      <c r="E12" s="5">
        <f>E10+(E11-E10)*3/10</f>
        <v/>
      </c>
      <c r="F12" s="5">
        <f>F10+(F11-F10)*4/10</f>
        <v/>
      </c>
      <c r="G12" s="5">
        <f>G10+(G11-G10)*5/10</f>
        <v/>
      </c>
      <c r="H12" s="5">
        <f>H10+(H11-H10)*6/10</f>
        <v/>
      </c>
      <c r="I12" s="5">
        <f>I10+(I11-I10)*7/10</f>
        <v/>
      </c>
      <c r="J12" s="5">
        <f>J10+(J11-J10)*8/10</f>
        <v/>
      </c>
      <c r="K12" s="5">
        <f>K10+(K11-K10)*9/10</f>
        <v/>
      </c>
      <c r="L12" s="5">
        <f>L10+(L11-L10)*10/10</f>
        <v/>
      </c>
    </row>
    <row r="13">
      <c r="A13" s="3" t="inlineStr">
        <is>
          <t>DC收入 ($B)</t>
        </is>
      </c>
      <c r="B13" s="26">
        <f>B9*B12</f>
        <v/>
      </c>
      <c r="C13" s="26">
        <f>C9*C12</f>
        <v/>
      </c>
      <c r="D13" s="26">
        <f>D9*D12</f>
        <v/>
      </c>
      <c r="E13" s="26">
        <f>E9*E12</f>
        <v/>
      </c>
      <c r="F13" s="26">
        <f>F9*F12</f>
        <v/>
      </c>
      <c r="G13" s="26">
        <f>G9*G12</f>
        <v/>
      </c>
      <c r="H13" s="26">
        <f>H9*H12</f>
        <v/>
      </c>
      <c r="I13" s="26">
        <f>I9*I12</f>
        <v/>
      </c>
      <c r="J13" s="26">
        <f>J9*J12</f>
        <v/>
      </c>
      <c r="K13" s="26">
        <f>K9*K12</f>
        <v/>
      </c>
      <c r="L13" s="26">
        <f>L9*L12</f>
        <v/>
      </c>
    </row>
    <row r="15">
      <c r="A15" s="27" t="inlineStr">
        <is>
          <t>-- Gaming --</t>
        </is>
      </c>
    </row>
    <row r="16">
      <c r="A16" s="3" t="inlineStr">
        <is>
          <t>Gaming收入 ($B)</t>
        </is>
      </c>
      <c r="B16" s="7">
        <f>'假设'!$F$12</f>
        <v/>
      </c>
      <c r="C16" s="25">
        <f>B16*(1+'假设'!$F$13)</f>
        <v/>
      </c>
      <c r="D16" s="25">
        <f>C16*(1+'假设'!$F$13)</f>
        <v/>
      </c>
      <c r="E16" s="25">
        <f>D16*(1+'假设'!$F$13)</f>
        <v/>
      </c>
      <c r="F16" s="25">
        <f>E16*(1+'假设'!$F$14)</f>
        <v/>
      </c>
      <c r="G16" s="25">
        <f>F16*(1+'假设'!$F$14)</f>
        <v/>
      </c>
      <c r="H16" s="25">
        <f>G16*(1+'假设'!$F$14)</f>
        <v/>
      </c>
      <c r="I16" s="25">
        <f>H16*(1+'假设'!$F$15)</f>
        <v/>
      </c>
      <c r="J16" s="25">
        <f>I16*(1+'假设'!$F$15)</f>
        <v/>
      </c>
      <c r="K16" s="25">
        <f>J16*(1+'假设'!$F$15)</f>
        <v/>
      </c>
      <c r="L16" s="25">
        <f>K16*(1+'假设'!$F$15)</f>
        <v/>
      </c>
    </row>
    <row r="17">
      <c r="A17" s="27" t="inlineStr">
        <is>
          <t>-- Pro Visualization --</t>
        </is>
      </c>
    </row>
    <row r="18">
      <c r="A18" s="3" t="inlineStr">
        <is>
          <t>Pro Visualization收入 ($B)</t>
        </is>
      </c>
      <c r="B18" s="7">
        <f>'假设'!$F$17</f>
        <v/>
      </c>
      <c r="C18" s="25">
        <f>B18*(1+'假设'!$F$18)</f>
        <v/>
      </c>
      <c r="D18" s="25">
        <f>C18*(1+'假设'!$F$18)</f>
        <v/>
      </c>
      <c r="E18" s="25">
        <f>D18*(1+'假设'!$F$18)</f>
        <v/>
      </c>
      <c r="F18" s="25">
        <f>E18*(1+'假设'!$F$19)</f>
        <v/>
      </c>
      <c r="G18" s="25">
        <f>F18*(1+'假设'!$F$19)</f>
        <v/>
      </c>
      <c r="H18" s="25">
        <f>G18*(1+'假设'!$F$19)</f>
        <v/>
      </c>
      <c r="I18" s="25">
        <f>H18*(1+'假设'!$F$20)</f>
        <v/>
      </c>
      <c r="J18" s="25">
        <f>I18*(1+'假设'!$F$20)</f>
        <v/>
      </c>
      <c r="K18" s="25">
        <f>J18*(1+'假设'!$F$20)</f>
        <v/>
      </c>
      <c r="L18" s="25">
        <f>K18*(1+'假设'!$F$20)</f>
        <v/>
      </c>
    </row>
    <row r="19">
      <c r="A19" s="27" t="inlineStr">
        <is>
          <t>-- Automotive --</t>
        </is>
      </c>
    </row>
    <row r="20">
      <c r="A20" s="3" t="inlineStr">
        <is>
          <t>Automotive收入 ($B)</t>
        </is>
      </c>
      <c r="B20" s="7">
        <f>'假设'!$F$22</f>
        <v/>
      </c>
      <c r="C20" s="25">
        <f>B20*(1+'假设'!$F$23)</f>
        <v/>
      </c>
      <c r="D20" s="25">
        <f>C20*(1+'假设'!$F$23)</f>
        <v/>
      </c>
      <c r="E20" s="25">
        <f>D20*(1+'假设'!$F$23)</f>
        <v/>
      </c>
      <c r="F20" s="25">
        <f>E20*(1+'假设'!$F$24)</f>
        <v/>
      </c>
      <c r="G20" s="25">
        <f>F20*(1+'假设'!$F$24)</f>
        <v/>
      </c>
      <c r="H20" s="25">
        <f>G20*(1+'假设'!$F$24)</f>
        <v/>
      </c>
      <c r="I20" s="25">
        <f>H20*(1+'假设'!$F$25)</f>
        <v/>
      </c>
      <c r="J20" s="25">
        <f>I20*(1+'假设'!$F$25)</f>
        <v/>
      </c>
      <c r="K20" s="25">
        <f>J20*(1+'假设'!$F$25)</f>
        <v/>
      </c>
      <c r="L20" s="25">
        <f>K20*(1+'假设'!$F$25)</f>
        <v/>
      </c>
    </row>
    <row r="21">
      <c r="A21" s="27" t="inlineStr">
        <is>
          <t>-- OEM &amp; Other --</t>
        </is>
      </c>
    </row>
    <row r="22">
      <c r="A22" s="3" t="inlineStr">
        <is>
          <t>OEM &amp; Other收入 ($B)</t>
        </is>
      </c>
      <c r="B22" s="23">
        <f>'假设'!$F$27</f>
        <v/>
      </c>
      <c r="C22" s="23">
        <f>'假设'!$F$27</f>
        <v/>
      </c>
      <c r="D22" s="23">
        <f>'假设'!$F$27</f>
        <v/>
      </c>
      <c r="E22" s="23">
        <f>'假设'!$F$27</f>
        <v/>
      </c>
      <c r="F22" s="23">
        <f>'假设'!$F$27</f>
        <v/>
      </c>
      <c r="G22" s="23">
        <f>'假设'!$F$27</f>
        <v/>
      </c>
      <c r="H22" s="23">
        <f>'假设'!$F$27</f>
        <v/>
      </c>
      <c r="I22" s="23">
        <f>'假设'!$F$27</f>
        <v/>
      </c>
      <c r="J22" s="23">
        <f>'假设'!$F$27</f>
        <v/>
      </c>
      <c r="K22" s="23">
        <f>'假设'!$F$27</f>
        <v/>
      </c>
      <c r="L22" s="23">
        <f>'假设'!$F$27</f>
        <v/>
      </c>
    </row>
    <row r="23">
      <c r="A23" s="21" t="inlineStr">
        <is>
          <t>--- 总收入汇总 ---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>
      <c r="A24" s="3" t="inlineStr">
        <is>
          <t>总收入 ($B)</t>
        </is>
      </c>
      <c r="B24" s="4" t="n">
        <v>215938000000</v>
      </c>
      <c r="C24" s="26">
        <f>C13+C16+C18+C20+C22</f>
        <v/>
      </c>
      <c r="D24" s="26">
        <f>D13+D16+D18+D20+D22</f>
        <v/>
      </c>
      <c r="E24" s="26">
        <f>E13+E16+E18+E20+E22</f>
        <v/>
      </c>
      <c r="F24" s="26">
        <f>F13+F16+F18+F20+F22</f>
        <v/>
      </c>
      <c r="G24" s="26">
        <f>G13+G16+G18+G20+G22</f>
        <v/>
      </c>
      <c r="H24" s="26">
        <f>H13+H16+H18+H20+H22</f>
        <v/>
      </c>
      <c r="I24" s="26">
        <f>I13+I16+I18+I20+I22</f>
        <v/>
      </c>
      <c r="J24" s="26">
        <f>J13+J16+J18+J20+J22</f>
        <v/>
      </c>
      <c r="K24" s="26">
        <f>K13+K16+K18+K20+K22</f>
        <v/>
      </c>
      <c r="L24" s="26">
        <f>L13+L16+L18+L20+L22</f>
        <v/>
      </c>
    </row>
    <row r="25">
      <c r="A25" s="3" t="inlineStr">
        <is>
          <t>总收入增速</t>
        </is>
      </c>
      <c r="B25" s="16" t="n">
        <v>0.6546999999999999</v>
      </c>
      <c r="C25" s="5">
        <f>(C24*1000-215938000000.0)/215938000000.0</f>
        <v/>
      </c>
      <c r="D25" s="5">
        <f>(D24-C24)/C24</f>
        <v/>
      </c>
      <c r="E25" s="5">
        <f>(E24-D24)/D24</f>
        <v/>
      </c>
      <c r="F25" s="5">
        <f>(F24-E24)/E24</f>
        <v/>
      </c>
      <c r="G25" s="5">
        <f>(G24-F24)/F24</f>
        <v/>
      </c>
      <c r="H25" s="5">
        <f>(H24-G24)/G24</f>
        <v/>
      </c>
      <c r="I25" s="5">
        <f>(I24-H24)/H24</f>
        <v/>
      </c>
      <c r="J25" s="5">
        <f>(J24-I24)/I24</f>
        <v/>
      </c>
      <c r="K25" s="5">
        <f>(K24-J24)/J24</f>
        <v/>
      </c>
      <c r="L25" s="5">
        <f>(L24-K24)/K24</f>
        <v/>
      </c>
    </row>
    <row r="27">
      <c r="A27" s="21" t="inlineStr">
        <is>
          <t>--- 利润推导 ---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>
      <c r="A28" s="3" t="inlineStr">
        <is>
          <t>起始毛利率</t>
        </is>
      </c>
      <c r="B28" s="24">
        <f>'假设'!$F$29</f>
        <v/>
      </c>
      <c r="C28" s="24">
        <f>'假设'!$F$29</f>
        <v/>
      </c>
      <c r="D28" s="24">
        <f>'假设'!$F$29</f>
        <v/>
      </c>
      <c r="E28" s="24">
        <f>'假设'!$F$29</f>
        <v/>
      </c>
      <c r="F28" s="24">
        <f>'假设'!$F$29</f>
        <v/>
      </c>
      <c r="G28" s="24">
        <f>'假设'!$F$29</f>
        <v/>
      </c>
      <c r="H28" s="24">
        <f>'假设'!$F$29</f>
        <v/>
      </c>
      <c r="I28" s="24">
        <f>'假设'!$F$29</f>
        <v/>
      </c>
      <c r="J28" s="24">
        <f>'假设'!$F$29</f>
        <v/>
      </c>
      <c r="K28" s="24">
        <f>'假设'!$F$29</f>
        <v/>
      </c>
      <c r="L28" s="24">
        <f>'假设'!$F$29</f>
        <v/>
      </c>
    </row>
    <row r="29">
      <c r="A29" s="3" t="inlineStr">
        <is>
          <t>终年毛利率</t>
        </is>
      </c>
      <c r="B29" s="24">
        <f>'假设'!$F$30</f>
        <v/>
      </c>
      <c r="C29" s="24">
        <f>'假设'!$F$30</f>
        <v/>
      </c>
      <c r="D29" s="24">
        <f>'假设'!$F$30</f>
        <v/>
      </c>
      <c r="E29" s="24">
        <f>'假设'!$F$30</f>
        <v/>
      </c>
      <c r="F29" s="24">
        <f>'假设'!$F$30</f>
        <v/>
      </c>
      <c r="G29" s="24">
        <f>'假设'!$F$30</f>
        <v/>
      </c>
      <c r="H29" s="24">
        <f>'假设'!$F$30</f>
        <v/>
      </c>
      <c r="I29" s="24">
        <f>'假设'!$F$30</f>
        <v/>
      </c>
      <c r="J29" s="24">
        <f>'假设'!$F$30</f>
        <v/>
      </c>
      <c r="K29" s="24">
        <f>'假设'!$F$30</f>
        <v/>
      </c>
      <c r="L29" s="24">
        <f>'假设'!$F$30</f>
        <v/>
      </c>
    </row>
    <row r="30">
      <c r="A30" s="3" t="inlineStr">
        <is>
          <t>毛利率</t>
        </is>
      </c>
      <c r="B30" s="16" t="n">
        <v>0.7107</v>
      </c>
      <c r="C30" s="5">
        <f>C28+(C29-C28)*0/9</f>
        <v/>
      </c>
      <c r="D30" s="5">
        <f>D28+(D29-D28)*1/9</f>
        <v/>
      </c>
      <c r="E30" s="5">
        <f>E28+(E29-E28)*2/9</f>
        <v/>
      </c>
      <c r="F30" s="5">
        <f>F28+(F29-F28)*3/9</f>
        <v/>
      </c>
      <c r="G30" s="5">
        <f>G28+(G29-G28)*4/9</f>
        <v/>
      </c>
      <c r="H30" s="5">
        <f>H28+(H29-H28)*5/9</f>
        <v/>
      </c>
      <c r="I30" s="5">
        <f>I28+(I29-I28)*6/9</f>
        <v/>
      </c>
      <c r="J30" s="5">
        <f>J28+(J29-J28)*7/9</f>
        <v/>
      </c>
      <c r="K30" s="5">
        <f>K28+(K29-K28)*8/9</f>
        <v/>
      </c>
      <c r="L30" s="5">
        <f>L28+(L29-L28)*9/9</f>
        <v/>
      </c>
    </row>
    <row r="31">
      <c r="A31" s="3" t="inlineStr">
        <is>
          <t>毛利 ($B)</t>
        </is>
      </c>
      <c r="B31" s="4" t="n">
        <v>153467136600</v>
      </c>
      <c r="C31" s="25">
        <f>C24*C30</f>
        <v/>
      </c>
      <c r="D31" s="25">
        <f>D24*D30</f>
        <v/>
      </c>
      <c r="E31" s="25">
        <f>E24*E30</f>
        <v/>
      </c>
      <c r="F31" s="25">
        <f>F24*F30</f>
        <v/>
      </c>
      <c r="G31" s="25">
        <f>G24*G30</f>
        <v/>
      </c>
      <c r="H31" s="25">
        <f>H24*H30</f>
        <v/>
      </c>
      <c r="I31" s="25">
        <f>I24*I30</f>
        <v/>
      </c>
      <c r="J31" s="25">
        <f>J24*J30</f>
        <v/>
      </c>
      <c r="K31" s="25">
        <f>K24*K30</f>
        <v/>
      </c>
      <c r="L31" s="25">
        <f>L24*L30</f>
        <v/>
      </c>
    </row>
    <row r="32">
      <c r="A32" s="3" t="inlineStr">
        <is>
          <t>起始费用率</t>
        </is>
      </c>
      <c r="B32" s="24">
        <f>'假设'!$F$31</f>
        <v/>
      </c>
      <c r="C32" s="24">
        <f>'假设'!$F$31</f>
        <v/>
      </c>
      <c r="D32" s="24">
        <f>'假设'!$F$31</f>
        <v/>
      </c>
      <c r="E32" s="24">
        <f>'假设'!$F$31</f>
        <v/>
      </c>
      <c r="F32" s="24">
        <f>'假设'!$F$31</f>
        <v/>
      </c>
      <c r="G32" s="24">
        <f>'假设'!$F$31</f>
        <v/>
      </c>
      <c r="H32" s="24">
        <f>'假设'!$F$31</f>
        <v/>
      </c>
      <c r="I32" s="24">
        <f>'假设'!$F$31</f>
        <v/>
      </c>
      <c r="J32" s="24">
        <f>'假设'!$F$31</f>
        <v/>
      </c>
      <c r="K32" s="24">
        <f>'假设'!$F$31</f>
        <v/>
      </c>
      <c r="L32" s="24">
        <f>'假设'!$F$31</f>
        <v/>
      </c>
    </row>
    <row r="33">
      <c r="A33" s="3" t="inlineStr">
        <is>
          <t>终年费用率</t>
        </is>
      </c>
      <c r="B33" s="24">
        <f>'假设'!$F$32</f>
        <v/>
      </c>
      <c r="C33" s="24">
        <f>'假设'!$F$32</f>
        <v/>
      </c>
      <c r="D33" s="24">
        <f>'假设'!$F$32</f>
        <v/>
      </c>
      <c r="E33" s="24">
        <f>'假设'!$F$32</f>
        <v/>
      </c>
      <c r="F33" s="24">
        <f>'假设'!$F$32</f>
        <v/>
      </c>
      <c r="G33" s="24">
        <f>'假设'!$F$32</f>
        <v/>
      </c>
      <c r="H33" s="24">
        <f>'假设'!$F$32</f>
        <v/>
      </c>
      <c r="I33" s="24">
        <f>'假设'!$F$32</f>
        <v/>
      </c>
      <c r="J33" s="24">
        <f>'假设'!$F$32</f>
        <v/>
      </c>
      <c r="K33" s="24">
        <f>'假设'!$F$32</f>
        <v/>
      </c>
      <c r="L33" s="24">
        <f>'假设'!$F$32</f>
        <v/>
      </c>
    </row>
    <row r="34">
      <c r="A34" s="3" t="inlineStr">
        <is>
          <t>费用率</t>
        </is>
      </c>
      <c r="B34" s="16" t="n">
        <v>0.1069</v>
      </c>
      <c r="C34" s="5">
        <f>C32+(C33-C32)*0/9</f>
        <v/>
      </c>
      <c r="D34" s="5">
        <f>D32+(D33-D32)*1/9</f>
        <v/>
      </c>
      <c r="E34" s="5">
        <f>E32+(E33-E32)*2/9</f>
        <v/>
      </c>
      <c r="F34" s="5">
        <f>F32+(F33-F32)*3/9</f>
        <v/>
      </c>
      <c r="G34" s="5">
        <f>G32+(G33-G32)*4/9</f>
        <v/>
      </c>
      <c r="H34" s="5">
        <f>H32+(H33-H32)*5/9</f>
        <v/>
      </c>
      <c r="I34" s="5">
        <f>I32+(I33-I32)*6/9</f>
        <v/>
      </c>
      <c r="J34" s="5">
        <f>J32+(J33-J32)*7/9</f>
        <v/>
      </c>
      <c r="K34" s="5">
        <f>K32+(K33-K32)*8/9</f>
        <v/>
      </c>
      <c r="L34" s="5">
        <f>L32+(L33-L32)*9/9</f>
        <v/>
      </c>
    </row>
    <row r="35">
      <c r="A35" s="3" t="inlineStr">
        <is>
          <t>运营费用 ($B)</t>
        </is>
      </c>
      <c r="B35" s="25">
        <f>B24*B34</f>
        <v/>
      </c>
      <c r="C35" s="25">
        <f>C24*C34</f>
        <v/>
      </c>
      <c r="D35" s="25">
        <f>D24*D34</f>
        <v/>
      </c>
      <c r="E35" s="25">
        <f>E24*E34</f>
        <v/>
      </c>
      <c r="F35" s="25">
        <f>F24*F34</f>
        <v/>
      </c>
      <c r="G35" s="25">
        <f>G24*G34</f>
        <v/>
      </c>
      <c r="H35" s="25">
        <f>H24*H34</f>
        <v/>
      </c>
      <c r="I35" s="25">
        <f>I24*I34</f>
        <v/>
      </c>
      <c r="J35" s="25">
        <f>J24*J34</f>
        <v/>
      </c>
      <c r="K35" s="25">
        <f>K24*K34</f>
        <v/>
      </c>
      <c r="L35" s="25">
        <f>L24*L34</f>
        <v/>
      </c>
    </row>
    <row r="36">
      <c r="A36" s="3" t="inlineStr">
        <is>
          <t>EBIT ($B)</t>
        </is>
      </c>
      <c r="B36" s="25">
        <f>B31-B35</f>
        <v/>
      </c>
      <c r="C36" s="25">
        <f>C31-C35</f>
        <v/>
      </c>
      <c r="D36" s="25">
        <f>D31-D35</f>
        <v/>
      </c>
      <c r="E36" s="25">
        <f>E31-E35</f>
        <v/>
      </c>
      <c r="F36" s="25">
        <f>F31-F35</f>
        <v/>
      </c>
      <c r="G36" s="25">
        <f>G31-G35</f>
        <v/>
      </c>
      <c r="H36" s="25">
        <f>H31-H35</f>
        <v/>
      </c>
      <c r="I36" s="25">
        <f>I31-I35</f>
        <v/>
      </c>
      <c r="J36" s="25">
        <f>J31-J35</f>
        <v/>
      </c>
      <c r="K36" s="25">
        <f>K31-K35</f>
        <v/>
      </c>
      <c r="L36" s="25">
        <f>L31-L35</f>
        <v/>
      </c>
    </row>
    <row r="37">
      <c r="A37" s="3" t="inlineStr">
        <is>
          <t>税率</t>
        </is>
      </c>
      <c r="B37" s="24">
        <f>'假设'!$F$33</f>
        <v/>
      </c>
      <c r="C37" s="24">
        <f>'假设'!$F$33</f>
        <v/>
      </c>
      <c r="D37" s="24">
        <f>'假设'!$F$33</f>
        <v/>
      </c>
      <c r="E37" s="24">
        <f>'假设'!$F$33</f>
        <v/>
      </c>
      <c r="F37" s="24">
        <f>'假设'!$F$33</f>
        <v/>
      </c>
      <c r="G37" s="24">
        <f>'假设'!$F$33</f>
        <v/>
      </c>
      <c r="H37" s="24">
        <f>'假设'!$F$33</f>
        <v/>
      </c>
      <c r="I37" s="24">
        <f>'假设'!$F$33</f>
        <v/>
      </c>
      <c r="J37" s="24">
        <f>'假设'!$F$33</f>
        <v/>
      </c>
      <c r="K37" s="24">
        <f>'假设'!$F$33</f>
        <v/>
      </c>
      <c r="L37" s="24">
        <f>'假设'!$F$33</f>
        <v/>
      </c>
    </row>
    <row r="38">
      <c r="A38" s="3" t="inlineStr">
        <is>
          <t>净利润 ($B)</t>
        </is>
      </c>
      <c r="B38" s="4" t="n">
        <v>120067000000</v>
      </c>
      <c r="C38" s="26">
        <f>C36*(1-C37)</f>
        <v/>
      </c>
      <c r="D38" s="26">
        <f>D36*(1-D37)</f>
        <v/>
      </c>
      <c r="E38" s="26">
        <f>E36*(1-E37)</f>
        <v/>
      </c>
      <c r="F38" s="26">
        <f>F36*(1-F37)</f>
        <v/>
      </c>
      <c r="G38" s="26">
        <f>G36*(1-G37)</f>
        <v/>
      </c>
      <c r="H38" s="26">
        <f>H36*(1-H37)</f>
        <v/>
      </c>
      <c r="I38" s="26">
        <f>I36*(1-I37)</f>
        <v/>
      </c>
      <c r="J38" s="26">
        <f>J36*(1-J37)</f>
        <v/>
      </c>
      <c r="K38" s="26">
        <f>K36*(1-K37)</f>
        <v/>
      </c>
      <c r="L38" s="26">
        <f>L36*(1-L37)</f>
        <v/>
      </c>
    </row>
    <row r="40">
      <c r="A40" s="21" t="inlineStr">
        <is>
          <t>--- 估值 ---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>
      <c r="A41" s="3" t="inlineStr">
        <is>
          <t>起始PE</t>
        </is>
      </c>
      <c r="B41" s="28">
        <f>'假设'!$F$35</f>
        <v/>
      </c>
      <c r="C41" s="28">
        <f>'假设'!$F$35</f>
        <v/>
      </c>
      <c r="D41" s="28">
        <f>'假设'!$F$35</f>
        <v/>
      </c>
      <c r="E41" s="28">
        <f>'假设'!$F$35</f>
        <v/>
      </c>
      <c r="F41" s="28">
        <f>'假设'!$F$35</f>
        <v/>
      </c>
      <c r="G41" s="28">
        <f>'假设'!$F$35</f>
        <v/>
      </c>
      <c r="H41" s="28">
        <f>'假设'!$F$35</f>
        <v/>
      </c>
      <c r="I41" s="28">
        <f>'假设'!$F$35</f>
        <v/>
      </c>
      <c r="J41" s="28">
        <f>'假设'!$F$35</f>
        <v/>
      </c>
      <c r="K41" s="28">
        <f>'假设'!$F$35</f>
        <v/>
      </c>
      <c r="L41" s="28">
        <f>'假设'!$F$35</f>
        <v/>
      </c>
    </row>
    <row r="42">
      <c r="A42" s="3" t="inlineStr">
        <is>
          <t>终年PE</t>
        </is>
      </c>
      <c r="B42" s="28">
        <f>'假设'!$F$36</f>
        <v/>
      </c>
      <c r="C42" s="28">
        <f>'假设'!$F$36</f>
        <v/>
      </c>
      <c r="D42" s="28">
        <f>'假设'!$F$36</f>
        <v/>
      </c>
      <c r="E42" s="28">
        <f>'假设'!$F$36</f>
        <v/>
      </c>
      <c r="F42" s="28">
        <f>'假设'!$F$36</f>
        <v/>
      </c>
      <c r="G42" s="28">
        <f>'假设'!$F$36</f>
        <v/>
      </c>
      <c r="H42" s="28">
        <f>'假设'!$F$36</f>
        <v/>
      </c>
      <c r="I42" s="28">
        <f>'假设'!$F$36</f>
        <v/>
      </c>
      <c r="J42" s="28">
        <f>'假设'!$F$36</f>
        <v/>
      </c>
      <c r="K42" s="28">
        <f>'假设'!$F$36</f>
        <v/>
      </c>
      <c r="L42" s="28">
        <f>'假设'!$F$36</f>
        <v/>
      </c>
    </row>
    <row r="43">
      <c r="A43" s="3" t="inlineStr">
        <is>
          <t>目标PE</t>
        </is>
      </c>
      <c r="B43" s="18" t="n">
        <v>45.05714</v>
      </c>
      <c r="C43" s="29">
        <f>C41+(C42-C41)*0/9</f>
        <v/>
      </c>
      <c r="D43" s="29">
        <f>D41+(D42-D41)*1/9</f>
        <v/>
      </c>
      <c r="E43" s="29">
        <f>E41+(E42-E41)*2/9</f>
        <v/>
      </c>
      <c r="F43" s="29">
        <f>F41+(F42-F41)*3/9</f>
        <v/>
      </c>
      <c r="G43" s="29">
        <f>G41+(G42-G41)*4/9</f>
        <v/>
      </c>
      <c r="H43" s="29">
        <f>H41+(H42-H41)*5/9</f>
        <v/>
      </c>
      <c r="I43" s="29">
        <f>I41+(I42-I41)*6/9</f>
        <v/>
      </c>
      <c r="J43" s="29">
        <f>J41+(J42-J41)*7/9</f>
        <v/>
      </c>
      <c r="K43" s="29">
        <f>K41+(K42-K41)*8/9</f>
        <v/>
      </c>
      <c r="L43" s="29">
        <f>L41+(L42-L41)*9/9</f>
        <v/>
      </c>
    </row>
    <row r="44">
      <c r="A44" s="3" t="inlineStr">
        <is>
          <t>隐含市值 ($B)</t>
        </is>
      </c>
      <c r="B44" s="26">
        <f>B38*B43</f>
        <v/>
      </c>
      <c r="C44" s="26">
        <f>C38*C43</f>
        <v/>
      </c>
      <c r="D44" s="26">
        <f>D38*D43</f>
        <v/>
      </c>
      <c r="E44" s="26">
        <f>E38*E43</f>
        <v/>
      </c>
      <c r="F44" s="26">
        <f>F38*F43</f>
        <v/>
      </c>
      <c r="G44" s="26">
        <f>G38*G43</f>
        <v/>
      </c>
      <c r="H44" s="26">
        <f>H38*H43</f>
        <v/>
      </c>
      <c r="I44" s="26">
        <f>I38*I43</f>
        <v/>
      </c>
      <c r="J44" s="26">
        <f>J38*J43</f>
        <v/>
      </c>
      <c r="K44" s="26">
        <f>K38*K43</f>
        <v/>
      </c>
      <c r="L44" s="26">
        <f>L38*L43</f>
        <v/>
      </c>
    </row>
    <row r="45">
      <c r="A45" s="3" t="inlineStr">
        <is>
          <t>股份数 (M)</t>
        </is>
      </c>
      <c r="B45" s="30">
        <f>'假设'!$F$37</f>
        <v/>
      </c>
      <c r="C45" s="30">
        <f>'假设'!$F$37</f>
        <v/>
      </c>
      <c r="D45" s="30">
        <f>'假设'!$F$37</f>
        <v/>
      </c>
      <c r="E45" s="30">
        <f>'假设'!$F$37</f>
        <v/>
      </c>
      <c r="F45" s="30">
        <f>'假设'!$F$37</f>
        <v/>
      </c>
      <c r="G45" s="30">
        <f>'假设'!$F$37</f>
        <v/>
      </c>
      <c r="H45" s="30">
        <f>'假设'!$F$37</f>
        <v/>
      </c>
      <c r="I45" s="30">
        <f>'假设'!$F$37</f>
        <v/>
      </c>
      <c r="J45" s="30">
        <f>'假设'!$F$37</f>
        <v/>
      </c>
      <c r="K45" s="30">
        <f>'假设'!$F$37</f>
        <v/>
      </c>
      <c r="L45" s="30">
        <f>'假设'!$F$37</f>
        <v/>
      </c>
    </row>
    <row r="46">
      <c r="A46" s="3" t="inlineStr">
        <is>
          <t>隐含股价 ($)</t>
        </is>
      </c>
      <c r="B46" s="31">
        <f>B44*1000/B45</f>
        <v/>
      </c>
      <c r="C46" s="31">
        <f>C44*1000/C45</f>
        <v/>
      </c>
      <c r="D46" s="31">
        <f>D44*1000/D45</f>
        <v/>
      </c>
      <c r="E46" s="31">
        <f>E44*1000/E45</f>
        <v/>
      </c>
      <c r="F46" s="31">
        <f>F44*1000/F45</f>
        <v/>
      </c>
      <c r="G46" s="31">
        <f>G44*1000/G45</f>
        <v/>
      </c>
      <c r="H46" s="31">
        <f>H44*1000/H45</f>
        <v/>
      </c>
      <c r="I46" s="31">
        <f>I44*1000/I45</f>
        <v/>
      </c>
      <c r="J46" s="31">
        <f>J44*1000/J45</f>
        <v/>
      </c>
      <c r="K46" s="31">
        <f>K44*1000/K45</f>
        <v/>
      </c>
      <c r="L46" s="31">
        <f>L44*1000/L45</f>
        <v/>
      </c>
    </row>
    <row r="47">
      <c r="A47" s="3" t="inlineStr">
        <is>
          <t>vs 当前股价溢价</t>
        </is>
      </c>
      <c r="B47" s="5">
        <f>(B46-220.78)/220.78</f>
        <v/>
      </c>
      <c r="C47" s="5">
        <f>(C46-220.78)/220.78</f>
        <v/>
      </c>
      <c r="D47" s="5">
        <f>(D46-220.78)/220.78</f>
        <v/>
      </c>
      <c r="E47" s="5">
        <f>(E46-220.78)/220.78</f>
        <v/>
      </c>
      <c r="F47" s="5">
        <f>(F46-220.78)/220.78</f>
        <v/>
      </c>
      <c r="G47" s="5">
        <f>(G46-220.78)/220.78</f>
        <v/>
      </c>
      <c r="H47" s="5">
        <f>(H46-220.78)/220.78</f>
        <v/>
      </c>
      <c r="I47" s="5">
        <f>(I46-220.78)/220.78</f>
        <v/>
      </c>
      <c r="J47" s="5">
        <f>(J46-220.78)/220.78</f>
        <v/>
      </c>
      <c r="K47" s="5">
        <f>(K46-220.78)/220.78</f>
        <v/>
      </c>
      <c r="L47" s="5">
        <f>(L46-220.78)/220.78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2026-05-13T08:33:07Z</dcterms:created>
  <dcterms:modified xmlns:dcterms="http://purl.org/dc/terms/" xmlns:xsi="http://www.w3.org/2001/XMLSchema-instance" xsi:type="dcterms:W3CDTF">2026-05-13T08:33:07Z</dcterms:modified>
</cp:coreProperties>
</file>